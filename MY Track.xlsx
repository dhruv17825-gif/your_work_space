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asht\OneDrive\Desktop\personal stuff\"/>
    </mc:Choice>
  </mc:AlternateContent>
  <xr:revisionPtr revIDLastSave="0" documentId="13_ncr:1_{8234CA77-2766-47C1-BBB4-E65FB4F5BE7C}" xr6:coauthVersionLast="47" xr6:coauthVersionMax="47" xr10:uidLastSave="{00000000-0000-0000-0000-000000000000}"/>
  <bookViews>
    <workbookView xWindow="-110" yWindow="-110" windowWidth="19420" windowHeight="10300" xr2:uid="{74EDFB7E-5E1B-4CDE-8116-ACE0B16EEB6D}"/>
  </bookViews>
  <sheets>
    <sheet name="DASHBOARD" sheetId="10" r:id="rId1"/>
    <sheet name="MAP" sheetId="11" r:id="rId2"/>
    <sheet name="Sub" sheetId="1" r:id="rId3"/>
    <sheet name="Mind Map" sheetId="8" r:id="rId4"/>
    <sheet name="Weitage" sheetId="9" r:id="rId5"/>
    <sheet name="Maths" sheetId="4" r:id="rId6"/>
    <sheet name="Reasoning" sheetId="5" r:id="rId7"/>
    <sheet name="GS" sheetId="6" r:id="rId8"/>
    <sheet name="English " sheetId="7" r:id="rId9"/>
  </sheets>
  <definedNames>
    <definedName name="_xlnm._FilterDatabase" localSheetId="5" hidden="1">Maths!$B$2:$E$2</definedName>
    <definedName name="_xlchart.v5.0" hidden="1">MAP!$B$1</definedName>
    <definedName name="_xlchart.v5.1" hidden="1">MAP!$B$2:$B$37</definedName>
    <definedName name="_xlchart.v5.2" hidden="1">MAP!$C$1</definedName>
    <definedName name="_xlchart.v5.3" hidden="1">MAP!$C$2:$C$37</definedName>
    <definedName name="_xlnm.Print_Area" localSheetId="0">DASHBOARD!$L$1:$S$38</definedName>
    <definedName name="_xlnm.Print_Area" localSheetId="8">'English '!$A$1:$E$21</definedName>
    <definedName name="_xlnm.Print_Area" localSheetId="7">GS!$A$1:$E$65</definedName>
    <definedName name="_xlnm.Print_Area" localSheetId="5">Maths!$A$1:$E$44</definedName>
    <definedName name="_xlnm.Print_Area" localSheetId="6">Reasoning!$A$1:$E$54</definedName>
    <definedName name="_xlnm.Print_Area" localSheetId="2">Sub!$A$1:$P$50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" i="10" l="1"/>
  <c r="R3" i="10" s="1"/>
  <c r="R4" i="10" s="1"/>
  <c r="R5" i="10" s="1"/>
  <c r="R6" i="10" s="1"/>
  <c r="R7" i="10" s="1"/>
  <c r="R8" i="10" s="1"/>
  <c r="B8" i="10" l="1"/>
  <c r="B9" i="10"/>
  <c r="B10" i="10"/>
  <c r="B11" i="10"/>
  <c r="I3" i="4"/>
  <c r="D8" i="10" s="1"/>
  <c r="H3" i="4"/>
  <c r="C8" i="10" s="1"/>
  <c r="G3" i="4"/>
  <c r="F1" i="5"/>
  <c r="F1" i="6" s="1"/>
  <c r="F1" i="7" s="1"/>
  <c r="I3" i="5"/>
  <c r="D9" i="10" s="1"/>
  <c r="H3" i="5"/>
  <c r="C9" i="10" s="1"/>
  <c r="G3" i="5"/>
  <c r="I3" i="7"/>
  <c r="D11" i="10" s="1"/>
  <c r="H3" i="7"/>
  <c r="C11" i="10" s="1"/>
  <c r="G3" i="7"/>
  <c r="I3" i="6"/>
  <c r="D10" i="10" s="1"/>
  <c r="H3" i="6"/>
  <c r="C10" i="10" s="1"/>
  <c r="G3" i="6"/>
  <c r="N11" i="1"/>
  <c r="N10" i="1"/>
  <c r="N9" i="1"/>
  <c r="N8" i="1"/>
  <c r="N7" i="1"/>
  <c r="N6" i="1"/>
  <c r="J49" i="1"/>
  <c r="J48" i="1"/>
  <c r="J47" i="1"/>
  <c r="J46" i="1"/>
  <c r="J45" i="1"/>
  <c r="J44" i="1"/>
  <c r="I43" i="1"/>
  <c r="J42" i="1"/>
  <c r="J41" i="1"/>
  <c r="J40" i="1"/>
  <c r="J39" i="1"/>
  <c r="J37" i="1"/>
  <c r="J36" i="1"/>
  <c r="J35" i="1"/>
  <c r="J34" i="1"/>
  <c r="J33" i="1"/>
  <c r="J31" i="1"/>
  <c r="J30" i="1"/>
  <c r="J29" i="1"/>
  <c r="J28" i="1"/>
  <c r="J27" i="1"/>
  <c r="J25" i="1"/>
  <c r="J24" i="1"/>
  <c r="J23" i="1"/>
  <c r="J22" i="1"/>
  <c r="J21" i="1"/>
  <c r="J20" i="1"/>
  <c r="J18" i="1"/>
  <c r="J17" i="1"/>
  <c r="J16" i="1"/>
  <c r="J15" i="1"/>
  <c r="J13" i="1"/>
  <c r="J12" i="1"/>
  <c r="J11" i="1"/>
  <c r="J9" i="1"/>
  <c r="J8" i="1"/>
  <c r="J7" i="1"/>
  <c r="F30" i="1"/>
  <c r="F29" i="1"/>
  <c r="F28" i="1"/>
  <c r="F27" i="1"/>
  <c r="F26" i="1"/>
  <c r="F25" i="1"/>
  <c r="F24" i="1"/>
  <c r="F23" i="1"/>
  <c r="F22" i="1"/>
  <c r="F21" i="1"/>
  <c r="F20" i="1"/>
  <c r="E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E8" i="10" l="1"/>
  <c r="E10" i="10"/>
  <c r="E9" i="10"/>
  <c r="C12" i="10"/>
  <c r="D12" i="10"/>
  <c r="B12" i="10"/>
  <c r="E11" i="10"/>
  <c r="C13" i="10" l="1"/>
  <c r="E13" i="10"/>
  <c r="D13" i="10"/>
  <c r="E12" i="10" l="1"/>
  <c r="A5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aasht</author>
  </authors>
  <commentList>
    <comment ref="R1" authorId="0" shapeId="0" xr:uid="{6940D2F2-0EA8-42BE-B7D0-58449B8E133C}">
      <text/>
    </comment>
    <comment ref="Y3" authorId="0" shapeId="0" xr:uid="{C997E701-6862-442B-8C49-90BEFA3945C4}">
      <text>
        <r>
          <rPr>
            <b/>
            <sz val="9"/>
            <color indexed="81"/>
            <rFont val="Tahoma"/>
            <family val="2"/>
          </rPr>
          <t>aasht:</t>
        </r>
        <r>
          <rPr>
            <sz val="9"/>
            <color indexed="81"/>
            <rFont val="Tahoma"/>
            <family val="2"/>
          </rPr>
          <t xml:space="preserve">
This should be added  manually to track your performance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aasht</author>
  </authors>
  <commentList>
    <comment ref="B14" authorId="0" shapeId="0" xr:uid="{4728C40C-5CE6-456D-AC0F-1D44C1EDA9DF}">
      <text>
        <r>
          <rPr>
            <b/>
            <sz val="9"/>
            <color indexed="81"/>
            <rFont val="Tahoma"/>
            <family val="2"/>
          </rPr>
          <t>aasht:</t>
        </r>
        <r>
          <rPr>
            <sz val="9"/>
            <color indexed="81"/>
            <rFont val="Tahoma"/>
            <family val="2"/>
          </rPr>
          <t xml:space="preserve">
2D
</t>
        </r>
      </text>
    </comment>
    <comment ref="B15" authorId="0" shapeId="0" xr:uid="{FF4863E1-89DC-4C25-B516-D2ED8A699F49}">
      <text>
        <r>
          <rPr>
            <b/>
            <sz val="9"/>
            <color indexed="81"/>
            <rFont val="Tahoma"/>
            <family val="2"/>
          </rPr>
          <t>aasht:</t>
        </r>
        <r>
          <rPr>
            <sz val="9"/>
            <color indexed="81"/>
            <rFont val="Tahoma"/>
            <family val="2"/>
          </rPr>
          <t xml:space="preserve">
3D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6" authorId="0" shapeId="0" xr:uid="{0130AD13-9642-4753-9A7F-BE6D9B7B2C90}">
      <text>
        <r>
          <rPr>
            <b/>
            <sz val="9"/>
            <color indexed="81"/>
            <rFont val="Tahoma"/>
            <family val="2"/>
          </rPr>
          <t>aasht:</t>
        </r>
        <r>
          <rPr>
            <sz val="9"/>
            <color indexed="81"/>
            <rFont val="Tahoma"/>
            <family val="2"/>
          </rPr>
          <t xml:space="preserve">
Economics</t>
        </r>
      </text>
    </comment>
  </commentList>
</comments>
</file>

<file path=xl/sharedStrings.xml><?xml version="1.0" encoding="utf-8"?>
<sst xmlns="http://schemas.openxmlformats.org/spreadsheetml/2006/main" count="1141" uniqueCount="647">
  <si>
    <t xml:space="preserve">Maths </t>
  </si>
  <si>
    <t xml:space="preserve">Reasoning </t>
  </si>
  <si>
    <t>GS</t>
  </si>
  <si>
    <t>English</t>
  </si>
  <si>
    <t>S.NO.</t>
  </si>
  <si>
    <t xml:space="preserve">Topics </t>
  </si>
  <si>
    <t>Number System</t>
  </si>
  <si>
    <t>Simplification</t>
  </si>
  <si>
    <t>Percentage</t>
  </si>
  <si>
    <t>Ratio &amp; Proportion</t>
  </si>
  <si>
    <t>Average</t>
  </si>
  <si>
    <t>Profit &amp; Loss</t>
  </si>
  <si>
    <t>Simple Interest</t>
  </si>
  <si>
    <t>Compound Interest</t>
  </si>
  <si>
    <t>Partnership</t>
  </si>
  <si>
    <t>Time &amp; Work</t>
  </si>
  <si>
    <t>Time, Speed &amp; Distance</t>
  </si>
  <si>
    <t>Algebra</t>
  </si>
  <si>
    <t>Geometry</t>
  </si>
  <si>
    <t>Trigonometry</t>
  </si>
  <si>
    <t>Statistics</t>
  </si>
  <si>
    <t>S.No</t>
  </si>
  <si>
    <t>Reasoning Topic</t>
  </si>
  <si>
    <t>Analogy</t>
  </si>
  <si>
    <t>Coding-Decoding</t>
  </si>
  <si>
    <t>Blood Relation</t>
  </si>
  <si>
    <t>Direction &amp; Distance</t>
  </si>
  <si>
    <t>Ranking &amp; Order</t>
  </si>
  <si>
    <t>Venn Diagram</t>
  </si>
  <si>
    <t>Syllogism</t>
  </si>
  <si>
    <t>Statement &amp; Conclusion</t>
  </si>
  <si>
    <t>Statement &amp; Assumption</t>
  </si>
  <si>
    <t>Statement &amp; Argument</t>
  </si>
  <si>
    <t>Inequality</t>
  </si>
  <si>
    <t>Puzzle</t>
  </si>
  <si>
    <t>Mirror Image</t>
  </si>
  <si>
    <t>Water Image</t>
  </si>
  <si>
    <t>Embedded Figure</t>
  </si>
  <si>
    <t>Figure Counting</t>
  </si>
  <si>
    <t>Cube &amp; Dice</t>
  </si>
  <si>
    <t>Mathematical Operations</t>
  </si>
  <si>
    <t>Calendar</t>
  </si>
  <si>
    <t>Clock</t>
  </si>
  <si>
    <t>GS Topic</t>
  </si>
  <si>
    <t>Indian National Movement</t>
  </si>
  <si>
    <t>Physics</t>
  </si>
  <si>
    <t>Chemistry</t>
  </si>
  <si>
    <t>Biology</t>
  </si>
  <si>
    <t>Books &amp; Authors</t>
  </si>
  <si>
    <t>Sports</t>
  </si>
  <si>
    <t>English Topic</t>
  </si>
  <si>
    <t>Noun</t>
  </si>
  <si>
    <t>Pronoun</t>
  </si>
  <si>
    <t>Adjective</t>
  </si>
  <si>
    <t>Verb</t>
  </si>
  <si>
    <t>Adverb</t>
  </si>
  <si>
    <t>Preposition</t>
  </si>
  <si>
    <t>Conjunction</t>
  </si>
  <si>
    <t>Error Detection</t>
  </si>
  <si>
    <t>Sentence Improvement</t>
  </si>
  <si>
    <t>Fill in the Blanks</t>
  </si>
  <si>
    <t>Cloze Test</t>
  </si>
  <si>
    <t>Synonyms</t>
  </si>
  <si>
    <t>Antonyms</t>
  </si>
  <si>
    <t>One Word Substitution</t>
  </si>
  <si>
    <t>Idioms &amp; Phrases</t>
  </si>
  <si>
    <t xml:space="preserve">TOTAL NO. OF TOPICS IN:- </t>
  </si>
  <si>
    <t>MATHS</t>
  </si>
  <si>
    <t xml:space="preserve">REASONING </t>
  </si>
  <si>
    <t xml:space="preserve">English </t>
  </si>
  <si>
    <t xml:space="preserve">Pending </t>
  </si>
  <si>
    <t>Completion%</t>
  </si>
  <si>
    <t xml:space="preserve">TOTAL </t>
  </si>
  <si>
    <t>COMPLETED</t>
  </si>
  <si>
    <t>Status</t>
  </si>
  <si>
    <t>Pending</t>
  </si>
  <si>
    <t>Subject</t>
  </si>
  <si>
    <t>Chapter</t>
  </si>
  <si>
    <t>Topic</t>
  </si>
  <si>
    <t>Maths</t>
  </si>
  <si>
    <t>Linear Equations</t>
  </si>
  <si>
    <t>Quadratic Equations</t>
  </si>
  <si>
    <t>Identities</t>
  </si>
  <si>
    <t>Discount</t>
  </si>
  <si>
    <t>Triangle</t>
  </si>
  <si>
    <t>Circle</t>
  </si>
  <si>
    <t>Mensuration</t>
  </si>
  <si>
    <t>Reasoning</t>
  </si>
  <si>
    <t>Word Analogy</t>
  </si>
  <si>
    <t>Number Analogy</t>
  </si>
  <si>
    <t>Classification</t>
  </si>
  <si>
    <t>Series</t>
  </si>
  <si>
    <t>Number Series</t>
  </si>
  <si>
    <t>Alphabet Series</t>
  </si>
  <si>
    <t>Letter Coding</t>
  </si>
  <si>
    <t>Number Coding</t>
  </si>
  <si>
    <t>Seating Arrangement</t>
  </si>
  <si>
    <t>Floor Puzzle</t>
  </si>
  <si>
    <t>Non-Verbal</t>
  </si>
  <si>
    <t>History</t>
  </si>
  <si>
    <t>Polity</t>
  </si>
  <si>
    <t>Constitution</t>
  </si>
  <si>
    <t>Fundamental Rights</t>
  </si>
  <si>
    <t>Parliament</t>
  </si>
  <si>
    <t>Geography</t>
  </si>
  <si>
    <t>Indian Geography</t>
  </si>
  <si>
    <t>World Geography</t>
  </si>
  <si>
    <t>Rivers of India</t>
  </si>
  <si>
    <t>Inflation</t>
  </si>
  <si>
    <t>Current Affairs</t>
  </si>
  <si>
    <t>National</t>
  </si>
  <si>
    <t>International</t>
  </si>
  <si>
    <t>Important Days</t>
  </si>
  <si>
    <t>Awards</t>
  </si>
  <si>
    <t>Grammar</t>
  </si>
  <si>
    <t>Tense</t>
  </si>
  <si>
    <t>Articles</t>
  </si>
  <si>
    <t>Voice</t>
  </si>
  <si>
    <t>Narration</t>
  </si>
  <si>
    <t>Vocabulary</t>
  </si>
  <si>
    <t>Comprehension</t>
  </si>
  <si>
    <t>Reading Passage</t>
  </si>
  <si>
    <t>Sentence Error</t>
  </si>
  <si>
    <t>Improvement</t>
  </si>
  <si>
    <t>STATUS</t>
  </si>
  <si>
    <t xml:space="preserve">Complete </t>
  </si>
  <si>
    <t>Sub</t>
  </si>
  <si>
    <t>Alphabet Analogy</t>
  </si>
  <si>
    <t>Mixed Analogy</t>
  </si>
  <si>
    <t>Word Classification</t>
  </si>
  <si>
    <t>Number Classification</t>
  </si>
  <si>
    <t>Alphabet Classification</t>
  </si>
  <si>
    <t>Figure Classification</t>
  </si>
  <si>
    <t>Alphanumeric Series</t>
  </si>
  <si>
    <t>Missing Term</t>
  </si>
  <si>
    <t>Matrix Coding</t>
  </si>
  <si>
    <t>New Pattern Coding</t>
  </si>
  <si>
    <t>Direct Relation</t>
  </si>
  <si>
    <t>Coded Blood Relation</t>
  </si>
  <si>
    <t>Puzzle Based</t>
  </si>
  <si>
    <t>Basic Direction</t>
  </si>
  <si>
    <t>Turning Based</t>
  </si>
  <si>
    <t>Distance Calculation</t>
  </si>
  <si>
    <t>Basic Venn Diagram</t>
  </si>
  <si>
    <t>Possibility Type</t>
  </si>
  <si>
    <t>Statement Based</t>
  </si>
  <si>
    <t>Cause &amp; Effect</t>
  </si>
  <si>
    <t>Linear Arrangement</t>
  </si>
  <si>
    <t>Circular Arrangement</t>
  </si>
  <si>
    <t>Uncertain Position</t>
  </si>
  <si>
    <t>Month / Day Puzzle</t>
  </si>
  <si>
    <t>Ranking Puzzle</t>
  </si>
  <si>
    <t>Position Based</t>
  </si>
  <si>
    <t>Order Based</t>
  </si>
  <si>
    <t>Direct Inequality</t>
  </si>
  <si>
    <t>Coded Inequality</t>
  </si>
  <si>
    <t>Symbol Replacement</t>
  </si>
  <si>
    <t>Equation Balance</t>
  </si>
  <si>
    <t>Paper Folding</t>
  </si>
  <si>
    <t>Figure Series</t>
  </si>
  <si>
    <t>Day Calculation</t>
  </si>
  <si>
    <t>Angle Between Hands</t>
  </si>
  <si>
    <t>2 Variable</t>
  </si>
  <si>
    <t>3 Variable</t>
  </si>
  <si>
    <t>Logical Sequence</t>
  </si>
  <si>
    <t>Word Arrangement</t>
  </si>
  <si>
    <t>Ancient History</t>
  </si>
  <si>
    <t>Indus Valley Civilization</t>
  </si>
  <si>
    <t>Vedic Period</t>
  </si>
  <si>
    <t>Buddhism &amp; Jainism</t>
  </si>
  <si>
    <t>Mauryan Empire</t>
  </si>
  <si>
    <t>Gupta Empire</t>
  </si>
  <si>
    <t>Medieval History</t>
  </si>
  <si>
    <t>Delhi Sultanate</t>
  </si>
  <si>
    <t>Mughal Empire</t>
  </si>
  <si>
    <t>Bhakti &amp; Sufi Movement</t>
  </si>
  <si>
    <t>Modern History</t>
  </si>
  <si>
    <t>Advent of Europeans</t>
  </si>
  <si>
    <t>Revolt of 1857</t>
  </si>
  <si>
    <t>Governor Generals &amp; Viceroys</t>
  </si>
  <si>
    <t>Important Congress Sessions</t>
  </si>
  <si>
    <t>Physical Geography</t>
  </si>
  <si>
    <t>Structure of Earth</t>
  </si>
  <si>
    <t>Latitudes &amp; Longitudes</t>
  </si>
  <si>
    <t>Climate</t>
  </si>
  <si>
    <t>Soil Types</t>
  </si>
  <si>
    <t>Mountains &amp; Plateaus</t>
  </si>
  <si>
    <t>Agriculture</t>
  </si>
  <si>
    <t>Mineral Resources</t>
  </si>
  <si>
    <t>Countries &amp; Capitals</t>
  </si>
  <si>
    <t>Features of Constitution</t>
  </si>
  <si>
    <t>Preamble</t>
  </si>
  <si>
    <t>Fundamental Duties</t>
  </si>
  <si>
    <t>Directive Principles</t>
  </si>
  <si>
    <t>Central Government</t>
  </si>
  <si>
    <t>President</t>
  </si>
  <si>
    <t>Prime Minister</t>
  </si>
  <si>
    <t>Judiciary</t>
  </si>
  <si>
    <t>Supreme Court</t>
  </si>
  <si>
    <t>High Court</t>
  </si>
  <si>
    <t>Miscellaneous</t>
  </si>
  <si>
    <t>Emergency Provisions</t>
  </si>
  <si>
    <t>Constitutional Amendments</t>
  </si>
  <si>
    <t>Economics</t>
  </si>
  <si>
    <t>Basic Concepts</t>
  </si>
  <si>
    <t>Basic Economic Terms</t>
  </si>
  <si>
    <t>National Income</t>
  </si>
  <si>
    <t>GDP &amp; GNP</t>
  </si>
  <si>
    <t>Types &amp; Causes</t>
  </si>
  <si>
    <t>Banking</t>
  </si>
  <si>
    <t>RBI Functions</t>
  </si>
  <si>
    <t>Commercial Banks</t>
  </si>
  <si>
    <t>Public Finance</t>
  </si>
  <si>
    <t>Budget &amp; Taxation</t>
  </si>
  <si>
    <t>Development</t>
  </si>
  <si>
    <t>Poverty &amp; Unemployment</t>
  </si>
  <si>
    <t>Mechanics</t>
  </si>
  <si>
    <t>Motion</t>
  </si>
  <si>
    <t>Work, Power &amp; Energy</t>
  </si>
  <si>
    <t>Thermodynamics</t>
  </si>
  <si>
    <t>Heat</t>
  </si>
  <si>
    <t>Optics</t>
  </si>
  <si>
    <t>Light</t>
  </si>
  <si>
    <t>Acoustics</t>
  </si>
  <si>
    <t>Sound</t>
  </si>
  <si>
    <t>Electricity</t>
  </si>
  <si>
    <t>Current &amp; Circuits</t>
  </si>
  <si>
    <t>General Chemistry</t>
  </si>
  <si>
    <t>Matter &amp; Its Properties</t>
  </si>
  <si>
    <t>Inorganic</t>
  </si>
  <si>
    <t>Periodic Table</t>
  </si>
  <si>
    <t>Chemical Reactions</t>
  </si>
  <si>
    <t>Types of Reactions</t>
  </si>
  <si>
    <t>Acids &amp; Bases</t>
  </si>
  <si>
    <t>Acids, Bases &amp; Salts</t>
  </si>
  <si>
    <t>Metals</t>
  </si>
  <si>
    <t>Metals &amp; Non-metals</t>
  </si>
  <si>
    <t>Cell Biology</t>
  </si>
  <si>
    <t>Cell Structure</t>
  </si>
  <si>
    <t>Human Physiology</t>
  </si>
  <si>
    <t>Human Body Systems</t>
  </si>
  <si>
    <t>Health</t>
  </si>
  <si>
    <t>Diseases</t>
  </si>
  <si>
    <t>Botany</t>
  </si>
  <si>
    <t>Plant Kingdom</t>
  </si>
  <si>
    <t>Nutrition</t>
  </si>
  <si>
    <t>Vitamins &amp; Deficiency</t>
  </si>
  <si>
    <t>Government Schemes</t>
  </si>
  <si>
    <t>Global Events</t>
  </si>
  <si>
    <t>Sports Events</t>
  </si>
  <si>
    <t>Awards &amp; Honors</t>
  </si>
  <si>
    <t>Books</t>
  </si>
  <si>
    <t>HISTORY</t>
  </si>
  <si>
    <t>GEOGRAPHY</t>
  </si>
  <si>
    <t>polity</t>
  </si>
  <si>
    <t>ECONOMICS</t>
  </si>
  <si>
    <t>PHYSICS</t>
  </si>
  <si>
    <t>SSC EXAM</t>
  </si>
  <si>
    <t>Total Topic</t>
  </si>
  <si>
    <t>complete</t>
  </si>
  <si>
    <t>pending</t>
  </si>
  <si>
    <t>Complete</t>
  </si>
  <si>
    <t>INDEX</t>
  </si>
  <si>
    <t>Progress %</t>
  </si>
  <si>
    <t>1. History (VERY IMPORTANT)</t>
  </si>
  <si>
    <t>🔹 Ancient History (Class 6)</t>
  </si>
  <si>
    <t>What, Where, How and When</t>
  </si>
  <si>
    <t>Vedic Culture</t>
  </si>
  <si>
    <t>Janapadas &amp; Mahajanapadas</t>
  </si>
  <si>
    <t>Ashoka</t>
  </si>
  <si>
    <t>🔹 Medieval History (Class 7)</t>
  </si>
  <si>
    <t>Akbar’s policies</t>
  </si>
  <si>
    <t>Administration system</t>
  </si>
  <si>
    <t>🔹 Modern History (Class 8)</t>
  </si>
  <si>
    <t>British Expansion in India</t>
  </si>
  <si>
    <t>Freedom Struggle</t>
  </si>
  <si>
    <t>Indian National Congress</t>
  </si>
  <si>
    <t>Gandhian Era</t>
  </si>
  <si>
    <t>Important movements &amp; leaders</t>
  </si>
  <si>
    <t>🌍 2. Geography</t>
  </si>
  <si>
    <t>🔹 Physical Geography (Class 6–8)</t>
  </si>
  <si>
    <t>Earth structure</t>
  </si>
  <si>
    <t>Latitude &amp; Longitude</t>
  </si>
  <si>
    <t>Motions of Earth</t>
  </si>
  <si>
    <t>Climate basics</t>
  </si>
  <si>
    <t>Soil types</t>
  </si>
  <si>
    <t>Natural vegetation</t>
  </si>
  <si>
    <t>🔹 India Geography (Class 9–10)</t>
  </si>
  <si>
    <t>Physical features of India</t>
  </si>
  <si>
    <t>Rivers &amp; lakes</t>
  </si>
  <si>
    <t>Climate of India</t>
  </si>
  <si>
    <t>Minerals &amp; industries</t>
  </si>
  <si>
    <t>🏛️ 3. Polity (MOST SCORING)</t>
  </si>
  <si>
    <t>🔹 Class 9–10 Civics</t>
  </si>
  <si>
    <t>Democracy</t>
  </si>
  <si>
    <t>Constitution basics</t>
  </si>
  <si>
    <t>Rights &amp; Duties</t>
  </si>
  <si>
    <t>🔹 Class 11 (Indian Constitution at Work)</t>
  </si>
  <si>
    <t>President &amp; Prime Minister</t>
  </si>
  <si>
    <t>💰 4. Economics (BASIC LEVEL)</t>
  </si>
  <si>
    <t>🔹 Class 9–10</t>
  </si>
  <si>
    <t>Poverty</t>
  </si>
  <si>
    <t>Unemployment</t>
  </si>
  <si>
    <t>Sectors of Economy</t>
  </si>
  <si>
    <t>Money &amp; Banking</t>
  </si>
  <si>
    <t>Budget basics</t>
  </si>
  <si>
    <t>👉 SSC asks very basic concepts</t>
  </si>
  <si>
    <t>🔬 5. General Science (IMPORTANT)</t>
  </si>
  <si>
    <t>🔹 Physics (Class 6–10)</t>
  </si>
  <si>
    <t>Force</t>
  </si>
  <si>
    <t>Work &amp; Energy</t>
  </si>
  <si>
    <t>🔹 Chemistry</t>
  </si>
  <si>
    <t>Matter</t>
  </si>
  <si>
    <t>Atoms &amp; Molecules</t>
  </si>
  <si>
    <t>Acids, Bases, Salts</t>
  </si>
  <si>
    <t>🔹 Biology</t>
  </si>
  <si>
    <t>Human body</t>
  </si>
  <si>
    <t>Plant &amp; animal basics</t>
  </si>
  <si>
    <t>🏛️ HISTORY</t>
  </si>
  <si>
    <t>📘 Class 6 (Ancient)</t>
  </si>
  <si>
    <t>Ch 2 → From Hunting to Growing Food</t>
  </si>
  <si>
    <t>Ch 3 → Earliest Cities</t>
  </si>
  <si>
    <t>Ch 4 → What Books &amp; Burials Tell Us</t>
  </si>
  <si>
    <t>Ch 5 → Kingdoms, Kings &amp; Early Republic</t>
  </si>
  <si>
    <t>Ch 6 → New Questions &amp; Ideas (Buddhism/Jainism)</t>
  </si>
  <si>
    <t>Ch 7 → Ashoka</t>
  </si>
  <si>
    <t>📘 Class 7 (Medieval)</t>
  </si>
  <si>
    <t>Ch 1 → Tracing Changes Through Time</t>
  </si>
  <si>
    <t>Ch 2 → New Kings &amp; Kingdoms</t>
  </si>
  <si>
    <t>Ch 4 → Mughals (VERY IMPORTANT)</t>
  </si>
  <si>
    <t>Ch 6 → Towns, Traders &amp; Craftspersons</t>
  </si>
  <si>
    <t>Ch 8 → Devotional Paths (Bhakti/Sufi)</t>
  </si>
  <si>
    <t>📘 Class 8 (Modern)</t>
  </si>
  <si>
    <r>
      <t xml:space="preserve">👉 </t>
    </r>
    <r>
      <rPr>
        <b/>
        <sz val="11"/>
        <color theme="1"/>
        <rFont val="Calibri"/>
        <family val="2"/>
        <scheme val="minor"/>
      </rPr>
      <t>DO ALL chapters but focus more on:</t>
    </r>
  </si>
  <si>
    <t>Ch 1 → British Rule</t>
  </si>
  <si>
    <t>Ch 5 → Revolt of 1857</t>
  </si>
  <si>
    <t>Ch 7 → Tribal &amp; Peasant movements</t>
  </si>
  <si>
    <t>Ch 8 → Freedom struggle</t>
  </si>
  <si>
    <t>Ch 9–10 → Gandhian Era</t>
  </si>
  <si>
    <t>🌍 GEOGRAPHY</t>
  </si>
  <si>
    <t>📘 Class 6–8 (Basics)</t>
  </si>
  <si>
    <t>Earth &amp; Globe</t>
  </si>
  <si>
    <t>Maps</t>
  </si>
  <si>
    <t>📘 Class 9</t>
  </si>
  <si>
    <t>Ch 1 → India Size &amp; Location</t>
  </si>
  <si>
    <t>Ch 2 → Physical Features</t>
  </si>
  <si>
    <t>Ch 3 → Drainage (Rivers)</t>
  </si>
  <si>
    <t>Ch 4 → Climate</t>
  </si>
  <si>
    <t>📘 Class 10</t>
  </si>
  <si>
    <t>Ch 1 → Resources</t>
  </si>
  <si>
    <t>Ch 3 → Water Resources</t>
  </si>
  <si>
    <t>Ch 4 → Agriculture</t>
  </si>
  <si>
    <t>Ch 5 → Minerals</t>
  </si>
  <si>
    <t>Ch 6 → Manufacturing</t>
  </si>
  <si>
    <t>🏛️ POLITY (VERY VERY IMPORTANT)</t>
  </si>
  <si>
    <t>📘 Class 9–10 (Civics)</t>
  </si>
  <si>
    <t>Constitutional Design</t>
  </si>
  <si>
    <t>📘 Class 11 (IMPORTANT)</t>
  </si>
  <si>
    <t>Constitution (Preamble)</t>
  </si>
  <si>
    <t>👉 (These are repeatedly asked in SSC)</t>
  </si>
  <si>
    <t>💰 ECONOMICS (ONLY BASIC)</t>
  </si>
  <si>
    <t>📘 Class 9–10</t>
  </si>
  <si>
    <t>Globalisation</t>
  </si>
  <si>
    <t>👉 Don’t go deep</t>
  </si>
  <si>
    <t>🔬 GENERAL SCIENCE (HIGH WEIGHTAGE)</t>
  </si>
  <si>
    <t>📘 Physics</t>
  </si>
  <si>
    <t>Work, Energy</t>
  </si>
  <si>
    <t>📘 Chemistry</t>
  </si>
  <si>
    <t>Acids/Bases</t>
  </si>
  <si>
    <t>📘 Biology</t>
  </si>
  <si>
    <t>Day</t>
  </si>
  <si>
    <t>Mon</t>
  </si>
  <si>
    <t>Tue</t>
  </si>
  <si>
    <t>Wed</t>
  </si>
  <si>
    <t>Thu</t>
  </si>
  <si>
    <t>Science</t>
  </si>
  <si>
    <t>Fri</t>
  </si>
  <si>
    <t>History + Revision</t>
  </si>
  <si>
    <t>Sat</t>
  </si>
  <si>
    <t>Geography + Polity</t>
  </si>
  <si>
    <t>Sun</t>
  </si>
  <si>
    <t>Full Revision + Mock</t>
  </si>
  <si>
    <t>(PYQ Analysis)</t>
  </si>
  <si>
    <t>🏛️ HISTORY (High Weight)</t>
  </si>
  <si>
    <t>🔥 Most Important:</t>
  </si>
  <si>
    <t>Modern History (Freedom struggle) ⭐⭐⭐</t>
  </si>
  <si>
    <t>Gandhian movements</t>
  </si>
  <si>
    <t>Important Congress sessions</t>
  </si>
  <si>
    <t>Viceroys &amp; Acts</t>
  </si>
  <si>
    <r>
      <t xml:space="preserve">👉 </t>
    </r>
    <r>
      <rPr>
        <b/>
        <sz val="11"/>
        <color theme="1"/>
        <rFont val="Calibri"/>
        <family val="2"/>
        <scheme val="minor"/>
      </rPr>
      <t>Skip deep ancient details</t>
    </r>
    <r>
      <rPr>
        <sz val="11"/>
        <color theme="1"/>
        <rFont val="Calibri"/>
        <family val="2"/>
        <scheme val="minor"/>
      </rPr>
      <t xml:space="preserve"> (low return)</t>
    </r>
  </si>
  <si>
    <t>🔥 Most Asked:</t>
  </si>
  <si>
    <t>National parks</t>
  </si>
  <si>
    <t>👉 Maps &amp; locations = important</t>
  </si>
  <si>
    <t>🏛️ POLITY (MOST SCORING)</t>
  </si>
  <si>
    <t>🔥 Top Topics:</t>
  </si>
  <si>
    <t>Fundamental Rights ⭐⭐⭐</t>
  </si>
  <si>
    <t>DPSP</t>
  </si>
  <si>
    <t>President vs PM powers</t>
  </si>
  <si>
    <t>Amendments</t>
  </si>
  <si>
    <t>👉 Direct questions come → easy marks</t>
  </si>
  <si>
    <t>🔬 SCIENCE (VERY HIGH WEIGHTAGE)</t>
  </si>
  <si>
    <t>🔥 Physics:</t>
  </si>
  <si>
    <t>🔥 Chemistry:</t>
  </si>
  <si>
    <t>🔥 Biology:</t>
  </si>
  <si>
    <t>Human body ⭐⭐⭐</t>
  </si>
  <si>
    <t>Vitamins</t>
  </si>
  <si>
    <t>👉 SSC repeats a LOT here</t>
  </si>
  <si>
    <t>💰 ECONOMICS</t>
  </si>
  <si>
    <t>🔥 Focus only:</t>
  </si>
  <si>
    <t>Budget</t>
  </si>
  <si>
    <t>GDP basics</t>
  </si>
  <si>
    <t>🥉 3. Polity (2–4 questions)</t>
  </si>
  <si>
    <t>👉 Mostly repeated</t>
  </si>
  <si>
    <t>Fundamental Rights &amp; Duties</t>
  </si>
  <si>
    <t>President, PM, Parliament</t>
  </si>
  <si>
    <t>Amendments (basic)</t>
  </si>
  <si>
    <t>🏛️ 4. History (0–3 questions but important)</t>
  </si>
  <si>
    <r>
      <t xml:space="preserve">👉 Focus only </t>
    </r>
    <r>
      <rPr>
        <b/>
        <sz val="11"/>
        <color theme="1"/>
        <rFont val="Calibri"/>
        <family val="2"/>
        <scheme val="minor"/>
      </rPr>
      <t>selected topics</t>
    </r>
  </si>
  <si>
    <t>🔹 Ancient (VERY IMPORTANT)</t>
  </si>
  <si>
    <t>Vedic Age</t>
  </si>
  <si>
    <t>Maurya (especially Ashoka)</t>
  </si>
  <si>
    <t>🔹 Modern (MORE IMPORTANT)</t>
  </si>
  <si>
    <t>Freedom struggle</t>
  </si>
  <si>
    <t>Gandhi, INC sessions</t>
  </si>
  <si>
    <t>Revolts (1857)</t>
  </si>
  <si>
    <t>🌍 5. Geography (0–2 questions)</t>
  </si>
  <si>
    <t>👉 Only basics</t>
  </si>
  <si>
    <t>Rivers, mountains</t>
  </si>
  <si>
    <t>Indian states &amp; crops</t>
  </si>
  <si>
    <t>Soil</t>
  </si>
  <si>
    <t>💰 6. Economy (0–2 questions)</t>
  </si>
  <si>
    <t>👉 Basic understanding enough</t>
  </si>
  <si>
    <t>Banking (RBI)</t>
  </si>
  <si>
    <t>Schemes</t>
  </si>
  <si>
    <t>🔬 7. Science (0–3 questions)</t>
  </si>
  <si>
    <t>👉 VERY IMPORTANT (easy marks)</t>
  </si>
  <si>
    <t>Physics → light, motion</t>
  </si>
  <si>
    <t>Chemistry → acids, metals</t>
  </si>
  <si>
    <t>Biology → human body, diseases</t>
  </si>
  <si>
    <t>Questions</t>
  </si>
  <si>
    <t>5–7</t>
  </si>
  <si>
    <t>Static GK</t>
  </si>
  <si>
    <t>3–5</t>
  </si>
  <si>
    <t>2–4</t>
  </si>
  <si>
    <t>2–3</t>
  </si>
  <si>
    <t>1–3</t>
  </si>
  <si>
    <t>1–2</t>
  </si>
  <si>
    <t>Economy</t>
  </si>
  <si>
    <t xml:space="preserve">GS </t>
  </si>
  <si>
    <t>Simple &amp; Compound Interest</t>
  </si>
  <si>
    <t>Algebra (basic)</t>
  </si>
  <si>
    <t xml:space="preserve">maths </t>
  </si>
  <si>
    <t>Series (Number/Alphabet)</t>
  </si>
  <si>
    <t>Direction</t>
  </si>
  <si>
    <t>Puzzle (easy)</t>
  </si>
  <si>
    <t>Mirror/Image</t>
  </si>
  <si>
    <t>Reading Comprehension</t>
  </si>
  <si>
    <t>Fill in the blanks</t>
  </si>
  <si>
    <t>Synonyms/Antonyms</t>
  </si>
  <si>
    <t>One word substitution</t>
  </si>
  <si>
    <t>Active/Passive</t>
  </si>
  <si>
    <t>Direct/Indirect</t>
  </si>
  <si>
    <r>
      <t xml:space="preserve">Focus: </t>
    </r>
    <r>
      <rPr>
        <b/>
        <sz val="11"/>
        <color theme="1"/>
        <rFont val="Calibri"/>
        <family val="2"/>
        <scheme val="minor"/>
      </rPr>
      <t>Current + Science + Polity</t>
    </r>
  </si>
  <si>
    <r>
      <t xml:space="preserve">Focus: </t>
    </r>
    <r>
      <rPr>
        <b/>
        <sz val="11"/>
        <color theme="1"/>
        <rFont val="Calibri"/>
        <family val="2"/>
        <scheme val="minor"/>
      </rPr>
      <t>Percentage + Ratio + DI + Mensuration</t>
    </r>
  </si>
  <si>
    <r>
      <t xml:space="preserve">Focus: </t>
    </r>
    <r>
      <rPr>
        <b/>
        <sz val="11"/>
        <color theme="1"/>
        <rFont val="Calibri"/>
        <family val="2"/>
        <scheme val="minor"/>
      </rPr>
      <t>Series + Coding + Puzzle</t>
    </r>
  </si>
  <si>
    <r>
      <t xml:space="preserve">Focus: </t>
    </r>
    <r>
      <rPr>
        <b/>
        <sz val="11"/>
        <color theme="1"/>
        <rFont val="Calibri"/>
        <family val="2"/>
        <scheme val="minor"/>
      </rPr>
      <t>RC + Grammar basics + Vocabulary</t>
    </r>
  </si>
  <si>
    <t>📊 Overall Progress</t>
  </si>
  <si>
    <t>SSC STUDY TRACKER DASHBOARD</t>
  </si>
  <si>
    <t>📅 Study Days</t>
  </si>
  <si>
    <t>📝 Total Mocks</t>
  </si>
  <si>
    <t xml:space="preserve">Reasoning     </t>
  </si>
  <si>
    <t xml:space="preserve">GS            </t>
  </si>
  <si>
    <t xml:space="preserve">English        </t>
  </si>
  <si>
    <t xml:space="preserve">Date </t>
  </si>
  <si>
    <t>Score</t>
  </si>
  <si>
    <t>WEAK AREAS</t>
  </si>
  <si>
    <t xml:space="preserve">Subject        </t>
  </si>
  <si>
    <t xml:space="preserve">Topic            </t>
  </si>
  <si>
    <t xml:space="preserve">Maths         </t>
  </si>
  <si>
    <t xml:space="preserve"> Weak</t>
  </si>
  <si>
    <t>Weak</t>
  </si>
  <si>
    <t xml:space="preserve">Geometry </t>
  </si>
  <si>
    <t>Mensuration-2D</t>
  </si>
  <si>
    <t>Mensuration-3D</t>
  </si>
  <si>
    <t>Current Affair</t>
  </si>
  <si>
    <t>Polity&amp;Articles</t>
  </si>
  <si>
    <t xml:space="preserve">     Status</t>
  </si>
  <si>
    <t xml:space="preserve">7 test per month </t>
  </si>
  <si>
    <t>30 days</t>
  </si>
  <si>
    <t>Ratio and Proportion</t>
  </si>
  <si>
    <t>Profit and Loss</t>
  </si>
  <si>
    <t>Mixture and Alligation</t>
  </si>
  <si>
    <t>Time and Work</t>
  </si>
  <si>
    <t>Pipes and Cisterns</t>
  </si>
  <si>
    <t>Time Speed Distance</t>
  </si>
  <si>
    <t>Boats and Streams</t>
  </si>
  <si>
    <t>Mensuration (2D)</t>
  </si>
  <si>
    <t>Mensuration (3D)</t>
  </si>
  <si>
    <t>Heights and Distances</t>
  </si>
  <si>
    <t>Data Interpretation</t>
  </si>
  <si>
    <t>Divisibility Rules</t>
  </si>
  <si>
    <t>Surds and Indices</t>
  </si>
  <si>
    <t>Fractions</t>
  </si>
  <si>
    <t>Square Root and Cube Root</t>
  </si>
  <si>
    <t>Polynomials</t>
  </si>
  <si>
    <t>Arithmetic</t>
  </si>
  <si>
    <t>Lines and Angles</t>
  </si>
  <si>
    <t>Quadrilateral</t>
  </si>
  <si>
    <t>Polygon</t>
  </si>
  <si>
    <t>2D Mensuration</t>
  </si>
  <si>
    <t>3D Mensuration</t>
  </si>
  <si>
    <t>Trigonometric Ratios</t>
  </si>
  <si>
    <t>Trigonometric Identities</t>
  </si>
  <si>
    <t>Bar Graph</t>
  </si>
  <si>
    <t>Line Graph</t>
  </si>
  <si>
    <t>Table</t>
  </si>
  <si>
    <t>Mean Median Mode</t>
  </si>
  <si>
    <t>Data Analysis</t>
  </si>
  <si>
    <t>LCM and HCF</t>
  </si>
  <si>
    <t>Remainder Theorem</t>
  </si>
  <si>
    <t>Unit Digit</t>
  </si>
  <si>
    <t>BODMAS</t>
  </si>
  <si>
    <t>Decimals</t>
  </si>
  <si>
    <t>Pie Chart</t>
  </si>
  <si>
    <t>Capital</t>
  </si>
  <si>
    <t>Andhra Pradesh</t>
  </si>
  <si>
    <t>Amaravati</t>
  </si>
  <si>
    <t>Visakhapatnam, Vijayawada, Guntur</t>
  </si>
  <si>
    <t>S.No.</t>
  </si>
  <si>
    <t>Arunachal Pradesh</t>
  </si>
  <si>
    <t>Major Cities</t>
  </si>
  <si>
    <t>Itanagar</t>
  </si>
  <si>
    <t>Tawang, Pasighat</t>
  </si>
  <si>
    <t>Assam</t>
  </si>
  <si>
    <t>Dispur</t>
  </si>
  <si>
    <t>Guwahati, Dibrugarh, Silchar</t>
  </si>
  <si>
    <t>Bihar</t>
  </si>
  <si>
    <t>Patna</t>
  </si>
  <si>
    <t>Gaya, Muzaffarpur, Bhagalpur</t>
  </si>
  <si>
    <t>Chhattisgarh</t>
  </si>
  <si>
    <t>Raipur</t>
  </si>
  <si>
    <t>Bhilai, Bilaspur, Durg</t>
  </si>
  <si>
    <t>Goa</t>
  </si>
  <si>
    <t>Panaji</t>
  </si>
  <si>
    <t>Vasco da Gama, Margao</t>
  </si>
  <si>
    <t>Gujarat</t>
  </si>
  <si>
    <t>Gandhinagar</t>
  </si>
  <si>
    <t>Ahmedabad, Surat, Vadodara</t>
  </si>
  <si>
    <t>Haryana</t>
  </si>
  <si>
    <t>Chandigarh</t>
  </si>
  <si>
    <t>Gurugram, Faridabad, Panipat</t>
  </si>
  <si>
    <t>Himachal Pradesh</t>
  </si>
  <si>
    <t>Shimla</t>
  </si>
  <si>
    <t>Manali, Dharamshala</t>
  </si>
  <si>
    <t>Jharkhand</t>
  </si>
  <si>
    <t>Ranchi</t>
  </si>
  <si>
    <t>Jamshedpur, Dhanbad</t>
  </si>
  <si>
    <t>Karnataka</t>
  </si>
  <si>
    <t>Bengaluru</t>
  </si>
  <si>
    <t>Mysuru, Mangaluru, Hubli</t>
  </si>
  <si>
    <t>Kerala</t>
  </si>
  <si>
    <t>Thiruvananthapuram</t>
  </si>
  <si>
    <t>Kochi, Kozhikode</t>
  </si>
  <si>
    <t>Madhya Pradesh</t>
  </si>
  <si>
    <t>Bhopal</t>
  </si>
  <si>
    <t>Indore, Gwalior, Jabalpur</t>
  </si>
  <si>
    <t>Maharashtra</t>
  </si>
  <si>
    <t>Mumbai</t>
  </si>
  <si>
    <t>Pune, Nagpur, Nashik</t>
  </si>
  <si>
    <t>Manipur</t>
  </si>
  <si>
    <t>Imphal</t>
  </si>
  <si>
    <t>Thoubal</t>
  </si>
  <si>
    <t>Meghalaya</t>
  </si>
  <si>
    <t>Shillong</t>
  </si>
  <si>
    <t>Tura</t>
  </si>
  <si>
    <t>Mizoram</t>
  </si>
  <si>
    <t>Aizawl</t>
  </si>
  <si>
    <t>Lunglei</t>
  </si>
  <si>
    <t>Nagaland</t>
  </si>
  <si>
    <t>Kohima</t>
  </si>
  <si>
    <t>Dimapur</t>
  </si>
  <si>
    <t>Odisha</t>
  </si>
  <si>
    <t>Bhubaneswar</t>
  </si>
  <si>
    <t>Cuttack, Rourkela</t>
  </si>
  <si>
    <t>Punjab</t>
  </si>
  <si>
    <t>Amritsar, Ludhiana, Jalandhar</t>
  </si>
  <si>
    <t>Rajasthan</t>
  </si>
  <si>
    <t>Jaipur</t>
  </si>
  <si>
    <t>Jodhpur, Udaipur, Kota</t>
  </si>
  <si>
    <t>Sikkim</t>
  </si>
  <si>
    <t>Gangtok</t>
  </si>
  <si>
    <t>Namchi</t>
  </si>
  <si>
    <t>Tamil Nadu</t>
  </si>
  <si>
    <t>Chennai</t>
  </si>
  <si>
    <t>Coimbatore, Madurai, Salem</t>
  </si>
  <si>
    <t>Telangana</t>
  </si>
  <si>
    <t>Hyderabad</t>
  </si>
  <si>
    <t>Warangal, Nizamabad</t>
  </si>
  <si>
    <t>Tripura</t>
  </si>
  <si>
    <t>Agartala</t>
  </si>
  <si>
    <t>Udaipur</t>
  </si>
  <si>
    <t>Uttar Pradesh</t>
  </si>
  <si>
    <t>Lucknow</t>
  </si>
  <si>
    <t>Kanpur, Varanasi, Agra</t>
  </si>
  <si>
    <t>Uttarakhand</t>
  </si>
  <si>
    <t>Dehradun</t>
  </si>
  <si>
    <t>Haridwar, Nainital</t>
  </si>
  <si>
    <t>West Bengal</t>
  </si>
  <si>
    <t>Kolkata</t>
  </si>
  <si>
    <t>Howrah, Durgapur, Siliguri</t>
  </si>
  <si>
    <t xml:space="preserve">States </t>
  </si>
  <si>
    <t>Port Blair</t>
  </si>
  <si>
    <t>Car Nicobar</t>
  </si>
  <si>
    <t>-</t>
  </si>
  <si>
    <t>Daman</t>
  </si>
  <si>
    <t>Silvassa, Diu</t>
  </si>
  <si>
    <t>New Delhi</t>
  </si>
  <si>
    <t>North Delhi, South Delhi</t>
  </si>
  <si>
    <t>Srinagar (Summer), Jammu (Winter)</t>
  </si>
  <si>
    <t>Anantnag, Baramulla</t>
  </si>
  <si>
    <t>Leh</t>
  </si>
  <si>
    <t>Kargil</t>
  </si>
  <si>
    <t>Kavaratti</t>
  </si>
  <si>
    <t>Agatti</t>
  </si>
  <si>
    <t>Puducherry</t>
  </si>
  <si>
    <t>Karaikal, Mahe, Yanam</t>
  </si>
  <si>
    <t>Andaman and Nicobar Islands(UT)</t>
  </si>
  <si>
    <t>Chandigarh(UT)</t>
  </si>
  <si>
    <t>Dadra and Nagar Haveli and Daman and Diu(UT)</t>
  </si>
  <si>
    <t>Delhi (NCT)(UT)</t>
  </si>
  <si>
    <t>Jammu and Kashmir(UT)</t>
  </si>
  <si>
    <t>Ladakh(UT)</t>
  </si>
  <si>
    <t>Lakshadweep(UT)</t>
  </si>
  <si>
    <t>Puducherry(UT)</t>
  </si>
  <si>
    <t>North → UP, Punjab, Haryana, HP, Uttarakhand</t>
  </si>
  <si>
    <t>South → TN, Kerala, Karnataka, AP, Telangana</t>
  </si>
  <si>
    <t>West → Gujarat, Rajasthan, Maharashtra, Goa</t>
  </si>
  <si>
    <t>East → Bihar, Jharkhand, Odisha, WB</t>
  </si>
  <si>
    <t>North-East → 7 sisters + Sikkim</t>
  </si>
  <si>
    <t xml:space="preserve"> N</t>
  </si>
  <si>
    <t xml:space="preserve"> S</t>
  </si>
  <si>
    <t>E</t>
  </si>
  <si>
    <t>w</t>
  </si>
  <si>
    <t>Syllabus</t>
  </si>
  <si>
    <t xml:space="preserve">subject wise progess </t>
  </si>
  <si>
    <t xml:space="preserve">TEST SCORES 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</si>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</sst>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;;;"/>
    <numFmt numFmtId="165" formatCode="&quot;&quot;"/>
    <numFmt numFmtId="166" formatCode="0.0%"/>
    <numFmt numFmtId="167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8"/>
      <color rgb="FF0061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3" fillId="2" borderId="0" applyNumberFormat="0" applyBorder="0" applyAlignment="0" applyProtection="0"/>
    <xf numFmtId="0" fontId="4" fillId="3" borderId="21" applyNumberFormat="0" applyAlignment="0" applyProtection="0"/>
    <xf numFmtId="0" fontId="5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154">
    <xf numFmtId="0" fontId="0" fillId="0" borderId="0" xfId="0"/>
    <xf numFmtId="0" fontId="2" fillId="0" borderId="7" xfId="0" applyFont="1" applyBorder="1"/>
    <xf numFmtId="0" fontId="1" fillId="6" borderId="0" xfId="5"/>
    <xf numFmtId="164" fontId="5" fillId="4" borderId="15" xfId="3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7" xfId="0" applyFont="1" applyBorder="1" applyAlignment="1">
      <alignment horizontal="center"/>
    </xf>
    <xf numFmtId="0" fontId="10" fillId="0" borderId="0" xfId="0" applyFont="1"/>
    <xf numFmtId="0" fontId="2" fillId="7" borderId="7" xfId="3" applyFont="1" applyFill="1" applyBorder="1" applyAlignment="1">
      <alignment horizontal="left"/>
    </xf>
    <xf numFmtId="0" fontId="2" fillId="7" borderId="7" xfId="3" applyFont="1" applyFill="1" applyBorder="1"/>
    <xf numFmtId="0" fontId="1" fillId="7" borderId="7" xfId="3" applyFont="1" applyFill="1" applyBorder="1"/>
    <xf numFmtId="0" fontId="1" fillId="8" borderId="7" xfId="3" applyFont="1" applyFill="1" applyBorder="1" applyAlignment="1">
      <alignment horizontal="left"/>
    </xf>
    <xf numFmtId="0" fontId="1" fillId="8" borderId="7" xfId="3" applyFont="1" applyFill="1" applyBorder="1"/>
    <xf numFmtId="0" fontId="1" fillId="8" borderId="7" xfId="3" applyFont="1" applyFill="1" applyBorder="1" applyAlignment="1"/>
    <xf numFmtId="0" fontId="1" fillId="9" borderId="7" xfId="3" applyFont="1" applyFill="1" applyBorder="1" applyAlignment="1">
      <alignment horizontal="left"/>
    </xf>
    <xf numFmtId="0" fontId="1" fillId="9" borderId="7" xfId="3" applyFont="1" applyFill="1" applyBorder="1"/>
    <xf numFmtId="164" fontId="1" fillId="9" borderId="7" xfId="3" applyNumberFormat="1" applyFont="1" applyFill="1" applyBorder="1"/>
    <xf numFmtId="0" fontId="1" fillId="10" borderId="7" xfId="3" applyFont="1" applyFill="1" applyBorder="1" applyAlignment="1">
      <alignment horizontal="left"/>
    </xf>
    <xf numFmtId="0" fontId="1" fillId="10" borderId="7" xfId="3" applyFont="1" applyFill="1" applyBorder="1"/>
    <xf numFmtId="164" fontId="1" fillId="7" borderId="7" xfId="3" applyNumberFormat="1" applyFont="1" applyFill="1" applyBorder="1"/>
    <xf numFmtId="164" fontId="1" fillId="8" borderId="7" xfId="3" applyNumberFormat="1" applyFont="1" applyFill="1" applyBorder="1"/>
    <xf numFmtId="0" fontId="2" fillId="8" borderId="7" xfId="3" applyFont="1" applyFill="1" applyBorder="1"/>
    <xf numFmtId="0" fontId="1" fillId="10" borderId="25" xfId="3" applyFont="1" applyFill="1" applyBorder="1" applyAlignment="1">
      <alignment horizontal="left"/>
    </xf>
    <xf numFmtId="165" fontId="1" fillId="10" borderId="7" xfId="3" applyNumberFormat="1" applyFont="1" applyFill="1" applyBorder="1" applyAlignment="1">
      <alignment horizontal="left"/>
    </xf>
    <xf numFmtId="0" fontId="2" fillId="7" borderId="25" xfId="3" applyFont="1" applyFill="1" applyBorder="1" applyAlignment="1">
      <alignment horizontal="left"/>
    </xf>
    <xf numFmtId="0" fontId="1" fillId="8" borderId="8" xfId="3" applyFont="1" applyFill="1" applyBorder="1" applyAlignment="1">
      <alignment horizontal="left"/>
    </xf>
    <xf numFmtId="0" fontId="1" fillId="9" borderId="8" xfId="3" applyFont="1" applyFill="1" applyBorder="1" applyAlignment="1">
      <alignment horizontal="left"/>
    </xf>
    <xf numFmtId="0" fontId="1" fillId="10" borderId="28" xfId="3" applyFont="1" applyFill="1" applyBorder="1" applyAlignment="1">
      <alignment horizontal="left"/>
    </xf>
    <xf numFmtId="0" fontId="1" fillId="10" borderId="8" xfId="3" applyFont="1" applyFill="1" applyBorder="1" applyAlignment="1">
      <alignment horizontal="left"/>
    </xf>
    <xf numFmtId="0" fontId="2" fillId="7" borderId="26" xfId="3" applyFont="1" applyFill="1" applyBorder="1" applyAlignment="1">
      <alignment horizontal="left"/>
    </xf>
    <xf numFmtId="0" fontId="2" fillId="7" borderId="7" xfId="3" applyFont="1" applyFill="1" applyBorder="1" applyAlignment="1">
      <alignment horizontal="center"/>
    </xf>
    <xf numFmtId="0" fontId="2" fillId="8" borderId="7" xfId="3" applyFont="1" applyFill="1" applyBorder="1" applyAlignment="1">
      <alignment horizontal="left"/>
    </xf>
    <xf numFmtId="0" fontId="2" fillId="10" borderId="7" xfId="3" applyFont="1" applyFill="1" applyBorder="1" applyAlignment="1">
      <alignment horizontal="left"/>
    </xf>
    <xf numFmtId="0" fontId="2" fillId="10" borderId="7" xfId="3" applyFont="1" applyFill="1" applyBorder="1" applyAlignment="1">
      <alignment horizontal="center"/>
    </xf>
    <xf numFmtId="2" fontId="0" fillId="0" borderId="0" xfId="0" applyNumberFormat="1"/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4" fillId="0" borderId="0" xfId="0" applyFont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Protection="1">
      <protection locked="0"/>
    </xf>
    <xf numFmtId="0" fontId="2" fillId="9" borderId="7" xfId="3" applyFont="1" applyFill="1" applyBorder="1" applyAlignment="1" applyProtection="1">
      <alignment horizontal="left"/>
      <protection locked="0"/>
    </xf>
    <xf numFmtId="0" fontId="2" fillId="0" borderId="7" xfId="0" applyFont="1" applyBorder="1" applyProtection="1">
      <protection locked="0"/>
    </xf>
    <xf numFmtId="0" fontId="2" fillId="0" borderId="0" xfId="0" applyFont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7" xfId="0" applyBorder="1"/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18" fillId="0" borderId="0" xfId="0" applyFont="1"/>
    <xf numFmtId="0" fontId="0" fillId="10" borderId="0" xfId="0" applyFill="1"/>
    <xf numFmtId="0" fontId="19" fillId="10" borderId="35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20" xfId="0" applyFont="1" applyFill="1" applyBorder="1" applyAlignment="1">
      <alignment horizontal="center" vertical="center"/>
    </xf>
    <xf numFmtId="0" fontId="2" fillId="10" borderId="19" xfId="0" applyFont="1" applyFill="1" applyBorder="1" applyAlignment="1">
      <alignment horizontal="center" vertical="center"/>
    </xf>
    <xf numFmtId="0" fontId="0" fillId="10" borderId="35" xfId="0" applyFill="1" applyBorder="1"/>
    <xf numFmtId="0" fontId="0" fillId="10" borderId="25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12" fillId="10" borderId="0" xfId="0" applyFont="1" applyFill="1"/>
    <xf numFmtId="0" fontId="16" fillId="1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167" fontId="15" fillId="10" borderId="0" xfId="0" quotePrefix="1" applyNumberFormat="1" applyFont="1" applyFill="1" applyAlignment="1">
      <alignment horizontal="center" vertical="center"/>
    </xf>
    <xf numFmtId="0" fontId="15" fillId="10" borderId="0" xfId="0" quotePrefix="1" applyFont="1" applyFill="1" applyAlignment="1">
      <alignment horizontal="center" vertical="center"/>
    </xf>
    <xf numFmtId="0" fontId="15" fillId="10" borderId="0" xfId="0" quotePrefix="1" applyFont="1" applyFill="1" applyAlignment="1">
      <alignment horizontal="left" vertical="center" indent="1"/>
    </xf>
    <xf numFmtId="167" fontId="15" fillId="10" borderId="24" xfId="0" quotePrefix="1" applyNumberFormat="1" applyFont="1" applyFill="1" applyBorder="1" applyAlignment="1">
      <alignment horizontal="center" vertical="center"/>
    </xf>
    <xf numFmtId="0" fontId="6" fillId="10" borderId="13" xfId="2" applyFont="1" applyFill="1" applyBorder="1"/>
    <xf numFmtId="0" fontId="6" fillId="10" borderId="14" xfId="2" applyFont="1" applyFill="1" applyBorder="1"/>
    <xf numFmtId="0" fontId="6" fillId="10" borderId="37" xfId="2" applyFont="1" applyFill="1" applyBorder="1"/>
    <xf numFmtId="0" fontId="6" fillId="10" borderId="36" xfId="2" applyFont="1" applyFill="1" applyBorder="1"/>
    <xf numFmtId="0" fontId="6" fillId="10" borderId="9" xfId="2" applyFont="1" applyFill="1" applyBorder="1" applyAlignment="1">
      <alignment horizontal="center"/>
    </xf>
    <xf numFmtId="0" fontId="6" fillId="10" borderId="7" xfId="2" applyFont="1" applyFill="1" applyBorder="1"/>
    <xf numFmtId="0" fontId="6" fillId="10" borderId="7" xfId="2" applyNumberFormat="1" applyFont="1" applyFill="1" applyBorder="1" applyAlignment="1">
      <alignment horizontal="right" vertical="center"/>
    </xf>
    <xf numFmtId="1" fontId="6" fillId="10" borderId="30" xfId="2" applyNumberFormat="1" applyFont="1" applyFill="1" applyBorder="1" applyAlignment="1">
      <alignment horizontal="center" vertical="center"/>
    </xf>
    <xf numFmtId="1" fontId="6" fillId="10" borderId="10" xfId="2" applyNumberFormat="1" applyFont="1" applyFill="1" applyBorder="1" applyAlignment="1">
      <alignment horizontal="center" vertical="center"/>
    </xf>
    <xf numFmtId="0" fontId="6" fillId="10" borderId="16" xfId="2" applyFont="1" applyFill="1" applyBorder="1"/>
    <xf numFmtId="0" fontId="6" fillId="10" borderId="16" xfId="2" applyNumberFormat="1" applyFont="1" applyFill="1" applyBorder="1" applyAlignment="1">
      <alignment horizontal="right" vertical="center"/>
    </xf>
    <xf numFmtId="0" fontId="6" fillId="10" borderId="18" xfId="2" applyFont="1" applyFill="1" applyBorder="1"/>
    <xf numFmtId="2" fontId="6" fillId="10" borderId="19" xfId="2" applyNumberFormat="1" applyFont="1" applyFill="1" applyBorder="1"/>
    <xf numFmtId="0" fontId="6" fillId="10" borderId="11" xfId="2" applyFont="1" applyFill="1" applyBorder="1" applyAlignment="1">
      <alignment horizontal="center"/>
    </xf>
    <xf numFmtId="0" fontId="6" fillId="10" borderId="18" xfId="2" applyFont="1" applyFill="1" applyBorder="1" applyAlignment="1">
      <alignment vertical="center"/>
    </xf>
    <xf numFmtId="4" fontId="6" fillId="10" borderId="18" xfId="2" applyNumberFormat="1" applyFont="1" applyFill="1" applyBorder="1"/>
    <xf numFmtId="0" fontId="0" fillId="10" borderId="35" xfId="0" applyFill="1" applyBorder="1" applyAlignment="1">
      <alignment horizontal="center" vertical="center"/>
    </xf>
    <xf numFmtId="0" fontId="17" fillId="10" borderId="0" xfId="0" applyFont="1" applyFill="1"/>
    <xf numFmtId="0" fontId="0" fillId="10" borderId="34" xfId="0" applyFill="1" applyBorder="1"/>
    <xf numFmtId="0" fontId="0" fillId="10" borderId="7" xfId="0" applyFill="1" applyBorder="1"/>
    <xf numFmtId="0" fontId="2" fillId="7" borderId="38" xfId="3" applyFont="1" applyFill="1" applyBorder="1" applyAlignment="1">
      <alignment horizontal="left"/>
    </xf>
    <xf numFmtId="0" fontId="2" fillId="7" borderId="39" xfId="3" applyFont="1" applyFill="1" applyBorder="1"/>
    <xf numFmtId="0" fontId="1" fillId="7" borderId="40" xfId="3" applyFont="1" applyFill="1" applyBorder="1"/>
    <xf numFmtId="166" fontId="2" fillId="7" borderId="41" xfId="3" applyNumberFormat="1" applyFont="1" applyFill="1" applyBorder="1" applyAlignment="1">
      <alignment horizontal="center"/>
    </xf>
    <xf numFmtId="0" fontId="0" fillId="0" borderId="3" xfId="0" applyBorder="1"/>
    <xf numFmtId="0" fontId="2" fillId="6" borderId="7" xfId="5" applyFont="1" applyBorder="1" applyAlignment="1">
      <alignment vertical="center"/>
    </xf>
    <xf numFmtId="0" fontId="2" fillId="6" borderId="7" xfId="5" applyFont="1" applyBorder="1"/>
    <xf numFmtId="0" fontId="2" fillId="6" borderId="9" xfId="5" applyFont="1" applyBorder="1" applyAlignment="1">
      <alignment vertical="center"/>
    </xf>
    <xf numFmtId="0" fontId="2" fillId="6" borderId="10" xfId="5" applyFont="1" applyBorder="1"/>
    <xf numFmtId="0" fontId="2" fillId="7" borderId="9" xfId="3" applyFont="1" applyFill="1" applyBorder="1" applyAlignment="1">
      <alignment horizontal="left"/>
    </xf>
    <xf numFmtId="164" fontId="1" fillId="10" borderId="10" xfId="3" applyNumberFormat="1" applyFont="1" applyFill="1" applyBorder="1"/>
    <xf numFmtId="0" fontId="1" fillId="7" borderId="9" xfId="3" applyFont="1" applyFill="1" applyBorder="1" applyAlignment="1">
      <alignment horizontal="left"/>
    </xf>
    <xf numFmtId="0" fontId="1" fillId="10" borderId="10" xfId="3" applyFont="1" applyFill="1" applyBorder="1"/>
    <xf numFmtId="0" fontId="1" fillId="7" borderId="9" xfId="3" applyFont="1" applyFill="1" applyBorder="1"/>
    <xf numFmtId="0" fontId="1" fillId="7" borderId="11" xfId="3" applyFont="1" applyFill="1" applyBorder="1"/>
    <xf numFmtId="0" fontId="1" fillId="7" borderId="42" xfId="3" applyFont="1" applyFill="1" applyBorder="1"/>
    <xf numFmtId="0" fontId="1" fillId="8" borderId="42" xfId="3" applyFont="1" applyFill="1" applyBorder="1"/>
    <xf numFmtId="0" fontId="1" fillId="9" borderId="42" xfId="3" applyFont="1" applyFill="1" applyBorder="1" applyAlignment="1">
      <alignment horizontal="left"/>
    </xf>
    <xf numFmtId="0" fontId="1" fillId="9" borderId="42" xfId="3" applyFont="1" applyFill="1" applyBorder="1"/>
    <xf numFmtId="0" fontId="1" fillId="10" borderId="42" xfId="3" applyFont="1" applyFill="1" applyBorder="1"/>
    <xf numFmtId="0" fontId="1" fillId="10" borderId="12" xfId="3" applyFont="1" applyFill="1" applyBorder="1"/>
    <xf numFmtId="14" fontId="0" fillId="10" borderId="7" xfId="0" applyNumberFormat="1" applyFill="1" applyBorder="1" applyAlignment="1">
      <alignment horizontal="left"/>
    </xf>
    <xf numFmtId="0" fontId="12" fillId="10" borderId="0" xfId="0" quotePrefix="1" applyFont="1" applyFill="1" applyAlignment="1">
      <alignment horizontal="center" vertical="center"/>
    </xf>
    <xf numFmtId="0" fontId="12" fillId="11" borderId="28" xfId="0" applyFont="1" applyFill="1" applyBorder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14" fontId="0" fillId="10" borderId="8" xfId="0" applyNumberFormat="1" applyFill="1" applyBorder="1" applyAlignment="1">
      <alignment horizontal="left"/>
    </xf>
    <xf numFmtId="14" fontId="0" fillId="10" borderId="22" xfId="0" applyNumberFormat="1" applyFill="1" applyBorder="1" applyAlignment="1">
      <alignment horizontal="left"/>
    </xf>
    <xf numFmtId="0" fontId="2" fillId="9" borderId="7" xfId="3" applyNumberFormat="1" applyFont="1" applyFill="1" applyBorder="1" applyAlignment="1">
      <alignment horizontal="center"/>
    </xf>
    <xf numFmtId="0" fontId="2" fillId="9" borderId="7" xfId="3" applyFont="1" applyFill="1" applyBorder="1" applyAlignment="1">
      <alignment horizontal="center"/>
    </xf>
    <xf numFmtId="0" fontId="2" fillId="8" borderId="7" xfId="3" applyFont="1" applyFill="1" applyBorder="1" applyAlignment="1">
      <alignment horizontal="center"/>
    </xf>
    <xf numFmtId="0" fontId="2" fillId="5" borderId="7" xfId="4" applyFont="1" applyBorder="1" applyAlignment="1">
      <alignment horizontal="center" vertical="center"/>
    </xf>
    <xf numFmtId="0" fontId="2" fillId="5" borderId="10" xfId="4" applyFont="1" applyBorder="1" applyAlignment="1">
      <alignment horizontal="center" vertical="center"/>
    </xf>
    <xf numFmtId="0" fontId="2" fillId="6" borderId="7" xfId="5" applyFont="1" applyBorder="1" applyAlignment="1">
      <alignment horizontal="left"/>
    </xf>
    <xf numFmtId="0" fontId="7" fillId="2" borderId="13" xfId="1" applyFont="1" applyBorder="1" applyAlignment="1">
      <alignment horizontal="center" vertical="center"/>
    </xf>
    <xf numFmtId="0" fontId="3" fillId="2" borderId="14" xfId="1" applyBorder="1" applyAlignment="1">
      <alignment horizontal="center" vertical="center"/>
    </xf>
    <xf numFmtId="0" fontId="3" fillId="2" borderId="15" xfId="1" applyBorder="1" applyAlignment="1">
      <alignment horizontal="center" vertical="center"/>
    </xf>
    <xf numFmtId="0" fontId="3" fillId="2" borderId="9" xfId="1" applyBorder="1" applyAlignment="1">
      <alignment horizontal="center" vertical="center"/>
    </xf>
    <xf numFmtId="0" fontId="3" fillId="2" borderId="7" xfId="1" applyBorder="1" applyAlignment="1">
      <alignment horizontal="center" vertical="center"/>
    </xf>
    <xf numFmtId="0" fontId="3" fillId="2" borderId="10" xfId="1" applyBorder="1" applyAlignment="1">
      <alignment horizontal="center" vertical="center"/>
    </xf>
    <xf numFmtId="0" fontId="2" fillId="5" borderId="9" xfId="4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5" borderId="24" xfId="4" applyFont="1" applyBorder="1" applyAlignment="1">
      <alignment horizontal="center"/>
    </xf>
    <xf numFmtId="0" fontId="2" fillId="5" borderId="27" xfId="4" applyFont="1" applyBorder="1" applyAlignment="1">
      <alignment horizontal="center"/>
    </xf>
    <xf numFmtId="0" fontId="2" fillId="5" borderId="7" xfId="4" applyFont="1" applyBorder="1" applyAlignment="1">
      <alignment horizontal="center"/>
    </xf>
    <xf numFmtId="0" fontId="2" fillId="5" borderId="2" xfId="4" applyFont="1" applyBorder="1" applyAlignment="1">
      <alignment horizontal="center" vertical="center"/>
    </xf>
    <xf numFmtId="0" fontId="2" fillId="5" borderId="0" xfId="4" applyFont="1" applyBorder="1" applyAlignment="1">
      <alignment horizontal="center" vertical="center"/>
    </xf>
    <xf numFmtId="0" fontId="2" fillId="12" borderId="4" xfId="0" applyFont="1" applyFill="1" applyBorder="1" applyAlignment="1">
      <alignment horizontal="center"/>
    </xf>
    <xf numFmtId="0" fontId="2" fillId="12" borderId="5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12" borderId="31" xfId="0" applyFont="1" applyFill="1" applyBorder="1" applyAlignment="1">
      <alignment horizontal="center"/>
    </xf>
    <xf numFmtId="0" fontId="2" fillId="12" borderId="23" xfId="0" applyFont="1" applyFill="1" applyBorder="1" applyAlignment="1">
      <alignment horizontal="center"/>
    </xf>
    <xf numFmtId="0" fontId="2" fillId="12" borderId="22" xfId="0" applyFont="1" applyFill="1" applyBorder="1" applyAlignment="1">
      <alignment horizontal="center"/>
    </xf>
  </cellXfs>
  <cellStyles count="6">
    <cellStyle name="20% - Accent1" xfId="4" builtinId="30"/>
    <cellStyle name="40% - Accent1" xfId="5" builtinId="31"/>
    <cellStyle name="Accent1" xfId="3" builtinId="29"/>
    <cellStyle name="Good" xfId="1" builtinId="26"/>
    <cellStyle name="Input" xfId="2" builtinId="20"/>
    <cellStyle name="Normal" xfId="0" builtinId="0"/>
  </cellStyles>
  <dxfs count="10">
    <dxf>
      <font>
        <b val="0"/>
        <i val="0"/>
        <u val="none"/>
        <color rgb="FF9C0006"/>
      </font>
      <fill>
        <patternFill patternType="solid">
          <bgColor rgb="FFFF0000"/>
        </patternFill>
      </fill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3C10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1598576395231326"/>
          <c:y val="6.420710997737579E-2"/>
          <c:w val="0.6780838360813416"/>
          <c:h val="0.83423906072018639"/>
        </c:manualLayout>
      </c:layout>
      <c:doughnutChart>
        <c:varyColors val="1"/>
        <c:ser>
          <c:idx val="0"/>
          <c:order val="0"/>
          <c:explosion val="14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071-4C0B-B0A8-F585A355A2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4071-4C0B-B0A8-F585A355A2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071-4C0B-B0A8-F585A355A25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4071-4C0B-B0A8-F585A355A25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MATHS</a:t>
                    </a:r>
                    <a:r>
                      <a:rPr lang="en-US" baseline="0"/>
                      <a:t>
</a:t>
                    </a:r>
                    <a:fld id="{958528AF-9F62-4E2B-ABF7-BAE33952D6FE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4071-4C0B-B0A8-F585A355A25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baseline="0"/>
                      <a:t>Reasoning
</a:t>
                    </a:r>
                    <a:fld id="{474C2809-4050-42F3-BC5C-E5931A625233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4071-4C0B-B0A8-F585A355A25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baseline="0"/>
                      <a:t>GS
</a:t>
                    </a:r>
                    <a:fld id="{43CB82D4-7C4A-44D4-9938-7EBC09DCE123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4071-4C0B-B0A8-F585A355A25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ENG</a:t>
                    </a:r>
                    <a:r>
                      <a:rPr lang="en-US" baseline="0"/>
                      <a:t>
</a:t>
                    </a:r>
                    <a:fld id="{B094B6EB-3A67-4FB5-A368-8E7C15494B76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4071-4C0B-B0A8-F585A355A2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DASHBOARD!$B$8:$B$11</c:f>
              <c:numCache>
                <c:formatCode>General</c:formatCode>
                <c:ptCount val="4"/>
                <c:pt idx="0">
                  <c:v>42</c:v>
                </c:pt>
                <c:pt idx="1">
                  <c:v>52</c:v>
                </c:pt>
                <c:pt idx="2">
                  <c:v>63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71-4C0B-B0A8-F585A355A25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21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56164352183249822"/>
          <c:y val="1.2595838711772993E-2"/>
          <c:w val="0.54675100568992974"/>
          <c:h val="0.9020285765179960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DF3-4105-98C8-FDEA86635E9B}"/>
              </c:ext>
            </c:extLst>
          </c:dPt>
          <c:dPt>
            <c:idx val="1"/>
            <c:bubble3D val="0"/>
            <c:explosion val="3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3DF3-4105-98C8-FDEA86635E9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DASHBOARD!$C$12:$D$12</c:f>
              <c:numCache>
                <c:formatCode>General</c:formatCode>
                <c:ptCount val="2"/>
                <c:pt idx="0">
                  <c:v>0</c:v>
                </c:pt>
                <c:pt idx="1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3-4105-98C8-FDEA86635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accent4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30" b="0" i="0" u="dbl" strike="noStrike" kern="14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194425135923"/>
          <c:y val="0.22321993118541342"/>
          <c:w val="0.85630318072729505"/>
          <c:h val="0.60465921476606621"/>
        </c:manualLayout>
      </c:layout>
      <c:barChart>
        <c:barDir val="bar"/>
        <c:grouping val="clustered"/>
        <c:varyColors val="0"/>
        <c:ser>
          <c:idx val="0"/>
          <c:order val="0"/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DASHBOARD!$A$8:$A$11</c:f>
              <c:strCache>
                <c:ptCount val="4"/>
                <c:pt idx="0">
                  <c:v>MATHS</c:v>
                </c:pt>
                <c:pt idx="1">
                  <c:v>REASONING </c:v>
                </c:pt>
                <c:pt idx="2">
                  <c:v>GS</c:v>
                </c:pt>
                <c:pt idx="3">
                  <c:v>English </c:v>
                </c:pt>
              </c:strCache>
            </c:strRef>
          </c:cat>
          <c:val>
            <c:numRef>
              <c:f>DASHBOARD!$E$8:$E$11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2C-47B3-B9D2-50F1D67A7E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27"/>
        <c:overlap val="-48"/>
        <c:axId val="1424313168"/>
        <c:axId val="1424320848"/>
      </c:barChart>
      <c:catAx>
        <c:axId val="14243131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320848"/>
        <c:crosses val="autoZero"/>
        <c:auto val="1"/>
        <c:lblAlgn val="ctr"/>
        <c:lblOffset val="100"/>
        <c:noMultiLvlLbl val="0"/>
      </c:catAx>
      <c:valAx>
        <c:axId val="1424320848"/>
        <c:scaling>
          <c:orientation val="minMax"/>
          <c:max val="100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31316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Score Card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val>
            <c:numRef>
              <c:f>DASHBOARD!$S$2:$S$8</c:f>
              <c:numCache>
                <c:formatCode>m/d/yyyy</c:formatCode>
                <c:ptCount val="7"/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DASHBOARD!$R$2:$R$8</c15:sqref>
                        </c15:formulaRef>
                      </c:ext>
                    </c:extLst>
                    <c:numCache>
                      <c:formatCode>m/d/yyyy</c:formatCode>
                      <c:ptCount val="7"/>
                      <c:pt idx="0">
                        <c:v>46266</c:v>
                      </c:pt>
                      <c:pt idx="1">
                        <c:v>46271</c:v>
                      </c:pt>
                      <c:pt idx="2">
                        <c:v>46276</c:v>
                      </c:pt>
                      <c:pt idx="3">
                        <c:v>46281</c:v>
                      </c:pt>
                      <c:pt idx="4">
                        <c:v>46286</c:v>
                      </c:pt>
                      <c:pt idx="5">
                        <c:v>46291</c:v>
                      </c:pt>
                      <c:pt idx="6">
                        <c:v>46296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8946-4A57-B955-F7B1F495EE3A}"/>
            </c:ext>
          </c:extLst>
        </c:ser>
        <c:ser>
          <c:idx val="1"/>
          <c:order val="1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val>
            <c:numRef>
              <c:f>DASHBOARD!$T$2:$T$8</c:f>
              <c:numCache>
                <c:formatCode>General</c:formatCode>
                <c:ptCount val="7"/>
                <c:pt idx="0">
                  <c:v>45</c:v>
                </c:pt>
                <c:pt idx="1">
                  <c:v>55</c:v>
                </c:pt>
                <c:pt idx="2">
                  <c:v>66</c:v>
                </c:pt>
                <c:pt idx="3">
                  <c:v>66</c:v>
                </c:pt>
                <c:pt idx="4">
                  <c:v>77</c:v>
                </c:pt>
                <c:pt idx="5">
                  <c:v>88</c:v>
                </c:pt>
                <c:pt idx="6">
                  <c:v>99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DASHBOARD!$R$2:$R$8</c15:sqref>
                        </c15:formulaRef>
                      </c:ext>
                    </c:extLst>
                    <c:numCache>
                      <c:formatCode>m/d/yyyy</c:formatCode>
                      <c:ptCount val="7"/>
                      <c:pt idx="0">
                        <c:v>46266</c:v>
                      </c:pt>
                      <c:pt idx="1">
                        <c:v>46271</c:v>
                      </c:pt>
                      <c:pt idx="2">
                        <c:v>46276</c:v>
                      </c:pt>
                      <c:pt idx="3">
                        <c:v>46281</c:v>
                      </c:pt>
                      <c:pt idx="4">
                        <c:v>46286</c:v>
                      </c:pt>
                      <c:pt idx="5">
                        <c:v>46291</c:v>
                      </c:pt>
                      <c:pt idx="6">
                        <c:v>46296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8946-4A57-B955-F7B1F495E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9699632"/>
        <c:axId val="1969688112"/>
        <c:extLst/>
      </c:lineChart>
      <c:catAx>
        <c:axId val="196969963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688112"/>
        <c:crosses val="autoZero"/>
        <c:auto val="0"/>
        <c:lblAlgn val="ctr"/>
        <c:lblOffset val="100"/>
        <c:noMultiLvlLbl val="0"/>
      </c:catAx>
      <c:valAx>
        <c:axId val="1969688112"/>
        <c:scaling>
          <c:orientation val="minMax"/>
        </c:scaling>
        <c:delete val="0"/>
        <c:axPos val="l"/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699632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Maths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3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5555555555555552E-2"/>
          <c:y val="0.10241555705440573"/>
          <c:w val="0.93888888888888888"/>
          <c:h val="0.6714577865266842"/>
        </c:manualLayout>
      </c:layout>
      <c:pie3DChart>
        <c:varyColors val="1"/>
        <c:ser>
          <c:idx val="0"/>
          <c:order val="0"/>
          <c:explosion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D8-4D14-8222-7562F536DFAF}"/>
              </c:ext>
            </c:extLst>
          </c:dPt>
          <c:dPt>
            <c:idx val="1"/>
            <c:bubble3D val="0"/>
            <c:spPr>
              <a:blipFill dpi="0" rotWithShape="1">
                <a:blip xmlns:r="http://schemas.openxmlformats.org/officeDocument/2006/relationships" r:embed="rId3">
                  <a:alphaModFix amt="79000"/>
                </a:blip>
                <a:srcRect/>
                <a:tile tx="0" ty="0" sx="100000" sy="100000" flip="none" algn="tl"/>
              </a:blipFill>
              <a:ln w="25400">
                <a:solidFill>
                  <a:schemeClr val="lt1"/>
                </a:solidFill>
              </a:ln>
              <a:effectLst>
                <a:outerShdw blurRad="469900" dist="127000" dir="3600000" sx="1000" sy="1000" algn="ctr" rotWithShape="0">
                  <a:srgbClr val="000000"/>
                </a:outerShdw>
              </a:effectLst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FEA-438A-A9B4-702DBCEFDBC6}"/>
              </c:ext>
            </c:extLst>
          </c:dPt>
          <c:val>
            <c:numRef>
              <c:f>Maths!$H$3:$I$3</c:f>
              <c:numCache>
                <c:formatCode>General</c:formatCode>
                <c:ptCount val="2"/>
                <c:pt idx="0">
                  <c:v>0</c:v>
                </c:pt>
                <c:pt idx="1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EA-438A-A9B4-702DBCEFD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Reasoning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3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0133779264214048E-2"/>
          <c:y val="0.1593189557321226"/>
          <c:w val="0.94113712374581937"/>
          <c:h val="0.67779742061186732"/>
        </c:manualLayout>
      </c:layout>
      <c:pie3DChart>
        <c:varyColors val="1"/>
        <c:ser>
          <c:idx val="0"/>
          <c:order val="0"/>
          <c:spPr>
            <a:blipFill dpi="0" rotWithShape="1">
              <a:blip xmlns:r="http://schemas.openxmlformats.org/officeDocument/2006/relationships" r:embed="rId3">
                <a:alphaModFix amt="70000"/>
              </a:blip>
              <a:srcRect/>
              <a:tile tx="0" ty="0" sx="100000" sy="100000" flip="none" algn="tl"/>
            </a:blipFill>
            <a:effectLst>
              <a:outerShdw blurRad="444500" dist="50800" dir="7200000" sx="105000" sy="105000" algn="ctr" rotWithShape="0">
                <a:srgbClr val="000000">
                  <a:alpha val="80000"/>
                </a:srgbClr>
              </a:outerShdw>
            </a:effectLst>
          </c:spPr>
          <c:dPt>
            <c:idx val="0"/>
            <c:bubble3D val="0"/>
            <c:spPr>
              <a:blipFill dpi="0" rotWithShape="1">
                <a:blip xmlns:r="http://schemas.openxmlformats.org/officeDocument/2006/relationships" r:embed="rId3">
                  <a:alphaModFix amt="70000"/>
                </a:blip>
                <a:srcRect/>
                <a:tile tx="0" ty="0" sx="100000" sy="100000" flip="none" algn="tl"/>
              </a:blipFill>
              <a:ln w="25400">
                <a:solidFill>
                  <a:schemeClr val="lt1"/>
                </a:solidFill>
              </a:ln>
              <a:effectLst>
                <a:outerShdw blurRad="444500" dist="50800" dir="7200000" sx="105000" sy="105000" algn="ctr" rotWithShape="0">
                  <a:srgbClr val="000000">
                    <a:alpha val="80000"/>
                  </a:srgbClr>
                </a:outerShdw>
              </a:effectLst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C96-43E4-A441-4A4EC6B769D5}"/>
              </c:ext>
            </c:extLst>
          </c:dPt>
          <c:dPt>
            <c:idx val="1"/>
            <c:bubble3D val="0"/>
            <c:spPr>
              <a:blipFill dpi="0" rotWithShape="1">
                <a:blip xmlns:r="http://schemas.openxmlformats.org/officeDocument/2006/relationships" r:embed="rId3">
                  <a:alphaModFix amt="80000"/>
                </a:blip>
                <a:srcRect/>
                <a:tile tx="0" ty="0" sx="100000" sy="100000" flip="none" algn="tl"/>
              </a:blipFill>
              <a:ln w="25400">
                <a:solidFill>
                  <a:schemeClr val="lt1"/>
                </a:solidFill>
              </a:ln>
              <a:effectLst>
                <a:outerShdw blurRad="444500" dist="50800" dir="7200000" algn="ctr" rotWithShape="0">
                  <a:srgbClr val="000000">
                    <a:alpha val="43000"/>
                  </a:srgbClr>
                </a:outerShdw>
              </a:effectLst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01A-49D9-9AEB-0F44234FAAC9}"/>
              </c:ext>
            </c:extLst>
          </c:dPt>
          <c:val>
            <c:numRef>
              <c:f>Reasoning!$H$3:$I$3</c:f>
              <c:numCache>
                <c:formatCode>General</c:formatCode>
                <c:ptCount val="2"/>
                <c:pt idx="0">
                  <c:v>0</c:v>
                </c:pt>
                <c:pt idx="1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A-49D9-9AEB-0F44234FA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GS</a:t>
            </a:r>
          </a:p>
        </c:rich>
      </c:tx>
      <c:layout>
        <c:manualLayout>
          <c:xMode val="edge"/>
          <c:yMode val="edge"/>
          <c:x val="0.5120851825948270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3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8295400711126219E-2"/>
          <c:y val="8.652329907247415E-2"/>
          <c:w val="0.97170459928887376"/>
          <c:h val="0.77458521408661019"/>
        </c:manualLayout>
      </c:layout>
      <c:pie3DChart>
        <c:varyColors val="1"/>
        <c:ser>
          <c:idx val="0"/>
          <c:order val="0"/>
          <c:spPr>
            <a:blipFill dpi="0" rotWithShape="1">
              <a:blip xmlns:r="http://schemas.openxmlformats.org/officeDocument/2006/relationships" r:embed="rId3">
                <a:alphaModFix amt="80000"/>
              </a:blip>
              <a:srcRect/>
              <a:tile tx="0" ty="0" sx="100000" sy="100000" flip="none" algn="tl"/>
            </a:blipFill>
            <a:effectLst>
              <a:outerShdw blurRad="558800" dist="241300" dir="7200000" sx="86000" sy="86000" algn="ctr" rotWithShape="0">
                <a:srgbClr val="000000">
                  <a:alpha val="43000"/>
                </a:srgbClr>
              </a:outerShdw>
            </a:effectLst>
          </c:spPr>
          <c:dPt>
            <c:idx val="0"/>
            <c:bubble3D val="0"/>
            <c:spPr>
              <a:blipFill dpi="0" rotWithShape="1">
                <a:blip xmlns:r="http://schemas.openxmlformats.org/officeDocument/2006/relationships" r:embed="rId3">
                  <a:alphaModFix amt="80000"/>
                </a:blip>
                <a:srcRect/>
                <a:tile tx="0" ty="0" sx="100000" sy="100000" flip="none" algn="tl"/>
              </a:blipFill>
              <a:ln w="25400">
                <a:solidFill>
                  <a:schemeClr val="lt1"/>
                </a:solidFill>
              </a:ln>
              <a:effectLst>
                <a:outerShdw blurRad="558800" dist="241300" dir="7200000" sx="86000" sy="86000" algn="ctr" rotWithShape="0">
                  <a:srgbClr val="000000">
                    <a:alpha val="43000"/>
                  </a:srgbClr>
                </a:outerShdw>
              </a:effectLst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258-4A9F-96FA-23E645FB9478}"/>
              </c:ext>
            </c:extLst>
          </c:dPt>
          <c:dPt>
            <c:idx val="1"/>
            <c:bubble3D val="0"/>
            <c:spPr>
              <a:blipFill dpi="0" rotWithShape="1">
                <a:blip xmlns:r="http://schemas.openxmlformats.org/officeDocument/2006/relationships" r:embed="rId3">
                  <a:alphaModFix amt="80000"/>
                </a:blip>
                <a:srcRect/>
                <a:tile tx="0" ty="0" sx="100000" sy="100000" flip="none" algn="tl"/>
              </a:blipFill>
              <a:ln w="25400">
                <a:solidFill>
                  <a:schemeClr val="lt1"/>
                </a:solidFill>
              </a:ln>
              <a:effectLst>
                <a:outerShdw blurRad="558800" dist="241300" dir="7200000" sx="86000" sy="86000" algn="ctr" rotWithShape="0">
                  <a:srgbClr val="000000">
                    <a:alpha val="43000"/>
                  </a:srgbClr>
                </a:outerShdw>
              </a:effectLst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258-4A9F-96FA-23E645FB9478}"/>
              </c:ext>
            </c:extLst>
          </c:dPt>
          <c:val>
            <c:numRef>
              <c:f>GS!$H$3:$I$3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74-4627-890F-BBDC6030A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outerShdw dist="50800" sx="1000" sy="1000" algn="ctr" rotWithShape="0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English</a:t>
            </a:r>
          </a:p>
        </c:rich>
      </c:tx>
      <c:layout>
        <c:manualLayout>
          <c:xMode val="edge"/>
          <c:yMode val="edge"/>
          <c:x val="0.41304794082202895"/>
          <c:y val="3.0362746660282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3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15952693574699375"/>
          <c:w val="1"/>
          <c:h val="0.75928973305892233"/>
        </c:manualLayout>
      </c:layout>
      <c:pie3DChart>
        <c:varyColors val="1"/>
        <c:ser>
          <c:idx val="0"/>
          <c:order val="0"/>
          <c:spPr>
            <a:blipFill dpi="0" rotWithShape="1">
              <a:blip xmlns:r="http://schemas.openxmlformats.org/officeDocument/2006/relationships" r:embed="rId3">
                <a:alphaModFix amt="83000"/>
              </a:blip>
              <a:srcRect/>
              <a:tile tx="0" ty="0" sx="100000" sy="100000" flip="none" algn="tl"/>
            </a:blipFill>
            <a:effectLst>
              <a:outerShdw blurRad="469900" dist="660400" dir="3060000" algn="ctr" rotWithShape="0">
                <a:srgbClr val="000000">
                  <a:alpha val="43000"/>
                </a:srgbClr>
              </a:outerShdw>
            </a:effectLst>
          </c:spPr>
          <c:dPt>
            <c:idx val="0"/>
            <c:bubble3D val="0"/>
            <c:spPr>
              <a:blipFill dpi="0" rotWithShape="1">
                <a:blip xmlns:r="http://schemas.openxmlformats.org/officeDocument/2006/relationships" r:embed="rId3">
                  <a:alphaModFix amt="83000"/>
                </a:blip>
                <a:srcRect/>
                <a:tile tx="0" ty="0" sx="100000" sy="100000" flip="none" algn="tl"/>
              </a:blipFill>
              <a:ln w="25400">
                <a:solidFill>
                  <a:schemeClr val="lt1"/>
                </a:solidFill>
              </a:ln>
              <a:effectLst>
                <a:outerShdw blurRad="469900" dist="660400" dir="3060000" algn="ctr" rotWithShape="0">
                  <a:srgbClr val="000000">
                    <a:alpha val="43000"/>
                  </a:srgbClr>
                </a:outerShdw>
              </a:effectLst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0E7-41AA-85F1-124BDD25039F}"/>
              </c:ext>
            </c:extLst>
          </c:dPt>
          <c:dPt>
            <c:idx val="1"/>
            <c:bubble3D val="0"/>
            <c:spPr>
              <a:blipFill dpi="0" rotWithShape="1">
                <a:blip xmlns:r="http://schemas.openxmlformats.org/officeDocument/2006/relationships" r:embed="rId3">
                  <a:alphaModFix amt="83000"/>
                </a:blip>
                <a:srcRect/>
                <a:tile tx="0" ty="0" sx="100000" sy="100000" flip="none" algn="tl"/>
              </a:blipFill>
              <a:ln w="25400">
                <a:solidFill>
                  <a:schemeClr val="lt1"/>
                </a:solidFill>
              </a:ln>
              <a:effectLst>
                <a:outerShdw blurRad="469900" dist="660400" dir="3060000" algn="ctr" rotWithShape="0">
                  <a:srgbClr val="000000">
                    <a:alpha val="43000"/>
                  </a:srgbClr>
                </a:outerShdw>
              </a:effectLst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0E7-41AA-85F1-124BDD25039F}"/>
              </c:ext>
            </c:extLst>
          </c:dPt>
          <c:val>
            <c:numRef>
              <c:f>'English '!$H$3:$I$3</c:f>
              <c:numCache>
                <c:formatCode>General</c:formatCode>
                <c:ptCount val="2"/>
                <c:pt idx="0">
                  <c:v>0</c:v>
                </c:pt>
                <c:pt idx="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09-4EE7-8EE6-0F54D9CD5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olorStr">
        <cx:f>_xlchart.v5.3</cx:f>
        <cx:nf>_xlchart.v5.2</cx:nf>
      </cx:strDim>
      <cx:strDim type="cat">
        <cx:f>_xlchart.v5.1</cx:f>
        <cx:nf>_xlchart.v5.0</cx:nf>
      </cx:strDim>
    </cx:data>
  </cx:chartData>
  <cx:chart>
    <cx:title pos="t" align="ctr" overlay="0">
      <cx:tx>
        <cx:txData>
          <cx:v>Map of India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Map of India </a:t>
          </a:r>
        </a:p>
      </cx:txPr>
    </cx:title>
    <cx:plotArea>
      <cx:plotAreaRegion>
        <cx:plotSurface>
          <cx:spPr>
            <a:ln cap="sq">
              <a:solidFill>
                <a:schemeClr val="accent1"/>
              </a:solidFill>
            </a:ln>
            <a:effectLst>
              <a:softEdge rad="190500"/>
            </a:effectLst>
          </cx:spPr>
        </cx:plotSurface>
        <cx:series layoutId="regionMap" uniqueId="{7F7C2063-0533-4BFB-88D2-77953FECA253}" formatIdx="0">
          <cx:dataId val="0"/>
          <cx:layoutPr>
            <cx:regionLabelLayout val="showAll"/>
            <cx:geography projectionType="mercator" viewedRegionType="dataOnly" cultureLanguage="en-US" cultureRegion="IN" attribution="Powered by Bing">
              <cx:geoCache provider="{E9337A44-BEBE-4D9F-B70C-5C5E7DAFC167}">
                <cx:binary>1HzZct3Gku2vKPRwozvigq65UKePO+Jg2DNnarBfEFsiBaAKKMzj13dSJG1xe8uW+/JEXOLF1gYK
SGBVZq5clcV/fh7/8Tm729dvxjyzzT8+jz+/Tdq2/MdPPzWfk7t835zk6ee6aIov7cnnIv+p+PIl
/Xz30229H1Ib/0QQZj99TvZ1eze+/e9/wt3iu2JXfN63aWEvu7t6urpruqxt/uTc0VNv9rd5aoO0
aev0c4t/fvsve5vU+zcX9f72rknevrmzbdpON1N59/PbZ9e+ffPT4R3/8PQ3GRjYdrcwFvMTyTnH
rkLq4Xj7Jits/HhaqhMlOMNcsYez9OnRZ/schv+4WV+N2t/e1ndNA2/39b9/HP/sVeD0xds3n4vO
tvcfMoZv+vPbtb1N92/fpE3hP5zwi/v3WJ99ffGfnkPw3/88+AE+xcEv36B0+N3+6tQfQPJSmApP
H+j/HRvCT4RULsecoq8HfoaNC6eREoIp8vTMB1D+0ozjWDwOO4DAu3pVEPyr7uwePDJ7eVch8oQr
Sl3F8QMc8Nm/cRUlTjCSVAImD4d4jsrfsuw4QkducYDWv14ZWk2zz58+0ws4jDihnAFCEM4ejucI
kROXSA6Rjj6cPQxmf2XNd1B5GHaIxPWr8hs/SfZtmzbxvn7B7ELwCRHCZYqToxGMnCCGARJ0EMF+
1JrjgDwffYCLf/OqcIEEu8/39s3e3r45Sz8Xn4CrrJsM/tn8x7ub/3w538EEsglCxEXsD05DMREu
fYprT8/8jQF8z8CnC4859nHk/uRt3z7PtsANIOO/Im6wLIC1vCBro4ISqsjRQCfZCeJEKEHIQ6Dj
T49+wOwvbDmOzddBB860/NfrwqDT+3rfPn2MY/Py77FnAk6jiMCSHY1vEgNjkEhg4M9fjwNKsPxr
e76DxdPAQzw2rwqPVZr/m7gaxSeKUA655zgw8oRQQTAV7kNeOgDm7xh2HKE/3uEAqtXrKm1W+3ra
2xcMYUSdYOVixSA2fcOiJVA4hghD7DvI/LUd3wHkaeAhDq+LMV90Vu8/vVwEo+jEZQTiE5HPceAn
DIN3KCSPcuW/tuM4DE/jDlC48F5V4NpAnW8SIGEvBwShJ4ILTJT7WJy4z/CAYp8LhikQsQc8gKU9
sImHlP5DFh2H5JuhB6hsVq8Kle2+tvt2b14wSmF2IjFihH0nwUPNDxINCDTHK8ofsug4Kt8MPUBl
+7pI1/au3mcvCQk6YUy5UsrnhQpkDoZcAk5yX8fAcVBT/rUd3wHi0f5DFHavyjc+3DXtG+/Oxvvs
KXC8AP2lJ+69OIzk8+ThyhMlof5gj16hDuqPHzTmOB7PBh+A8uF1pZHT/W0y/RtEfcglnLoYhP1H
EoWf5RLpnhDXVYJSfDS3/7hZxxE6HH8A0unrYr7BHlZ7HvSXPahjb1b7/i5Lv/4Q/KZ8BGn3snIM
QSfABQgDgvwcOwoqMyQkLh8LmwMe8B1rQVh588zaPwsCx1H98Tsf4B28LhZxugdyt2+Stn7JpKVO
GGigLgX1+etx4JH3aweuouRxle0wYP6gTceBezb4AJvT14aNTcuu/rPJ+zcFHOB3lAkQ035XN7+p
RhUkOFiBkxw/VkHq6dEPrPt0/5f2fA+Tx4GHeLwuUfP0Loaltv30gp4Ci54cFnEwlU/k4Vn8U7Ci
IKVwQVV7yF2HiPyIRd/B5Pehh6i8Lq53ms5F/aLravSEInACRJ8XpQoW1KhARKHj3QE/YMh3oHh6
g0Mgfn1VpPsMCMP9Us1T0HgBxi1OQE52QdV8pG4w/b+NV+yECSB+8pH3IeDl36oEP2LQcUR+H3kA
ydnr8o3z27RJXjJcoROOKWIMMvvD8QwQFwAhUCNBennI+weV0F+bcxyOp3EHYJxfvSr/CO6yJH3z
H2f+zX++MHt2TwQDTQaJRy3ggG7JE1iSYRJaax4wO5D/v9r15DnHnPY4KI/DDjAJXpeDXO31vmlB
2/yz9/+bJEuccJdRRtRxNIBk3ecPl8kHHzloy/ghi44j8s3QA1SuXtdK2XVqTPqSnTLQywRfmyJy
lPe67gmTkkDT32OVeeAgf23OcTyexh2Acb19VWHrZp+n2Zuz/W33cj6C8QnCAkp79znFAq2GIQkw
8YNU/mNGHIfh27EHUNy8rgLEv1+ESe+bll42gcCyGEx/qEPc4yFLnADFgqqQP9aFByrM72b92Qw5
Ds63Yw/A8V9XtX5zB+Q3ftFVYyxPgNoKDh1+z3gW9CkjBBlE8cdKBE5/S3x/yJTjeHwz9ACOm+Wr
Clu7vQHqezvc3ZUv6ywQu4gEtV8dxi5oQ7pP+qCfPEfjG0ueTvw4y3o2+ACRXfDKELndm5eOXPRE
YYTd++R9pCCRkPiB9jJosDhKtnb7e5P+N6g8jDsE5F+vCpCb+l5efMnykJ5IxhH0Ih0U6hh+JxL6
jx4J1oGH/IAh34lWT29wAMTN66oM37UtLLW8+G4XIh7awvBjBz96Xhe6UMwLQTl56sE4qER+2Krj
2BwMP0Do3etaFvv6MhAqXlTeAtoFLS4IesYf1d0/ZHkgwhR6ZB5D24HX/KBNf4LO0wsdYvO6CpTN
Ps+7ryuUW1jIytP6ZfM9heVl6Hrh/LgIKfn9RhiA8On0QfH4YN3/2eflf715tO/v55ujNzlAbfO6
ULvobjvYdFjX08vCBfTMVQQLAp719Xge9IA6w3oKkdBz+dvpb6nz72b9fZS+HXsAzsUv/18zg+M7
Cx6+ywNXfXbF39x1CX3jkGU4FPyPktcfIIEVScGAOjwEugMPetwD+X1rjke4x2HPDP83b6j8/mbL
3zalBtCyF37dzfrNfss/P/v19WCn7cHQx4rvWCnxeGp9e7/jVQAX+22T7P09npWK0CpxZKft7yPv
QB79+S0I+xLKUNhNxglmoG5Cphqgx+rnt9CHBnsAORVYUZA0oanz7Rtb1G0Cj4aeZ2hJlwhjib9W
RU3RfT0B+wiAIioFtxPQaqh+20x8UWRTXNjfvsfjv9/YLr8oUts2cFf09k35cNm9lZLdPwILBdq2
K4DsC8iS5ef9FWxYvr/6/4omc3rc6XZRd/HQXCed697M0rFlwAslzplM3CZwcFEtLBqLBUOtDrM2
5lBc/fbZjthBgM8eWAJmSMjVkvL7RXb3q6XfWIJ4L1JnUiQscNO8N+7UBZFQ0bqPc3LTmVTtRiG8
WVgvj4rRL4tu5WbKCbEe+Qp+ShcONsWyMEn+K09K5NkknSovE2ka5HHEL1A7ReuZNCSYlOrOEp0m
uacrbkJWOeQyaWrHSyti126S175TOXPrj3EWhU5thoByOYU2VtZPUDd8xIRJsmgFt6F2J7UVneGT
p0hvfA3XT97QjXhdR2LcF44lfqfZWZ5SZ+UKzTNvblq6Rxxlp5xmUe21VdbN3oiq7ShaPxXT+InS
dr7FpuY3ILyqZTHRftOaoblIM1NoTycmLbx4KD610m3Wnejr84S1eIMKTAKRuN0CyvD2IhY0Cpgl
U4g03WRFuRpTR3t5J+J3E1NZ5Wk2NT7TWHzEXaT8AhZx3yWDchZdaehaWxp5c0/JrkpiZwGXoOUo
IxEUQ1KvGobULnbosO6hkgzqKVvYKZ6CilXddmqd9KxLWRyWQ1WGsquI8bvK0sUkBx5GLZvCmIv2
hleoDFRa0EDGVXKd2YF/lLMbhfXU1CGtEVqVDZ3h1aqL2UyTlwtnOI1zo2+6YXQ+DEPVLzSvoxU0
5yKvLkgaVkWpfTrX/W2VazcUubGXLHdp6kXC6U6HMq83aUxZAMlw0YzDKUuqlWudrVslYhGPjlj0
SJ5LqpPJQybG/ozSJckt8Rxe81Aaq5aGTq3XNKIMWDJlK5E4gY1m4zc6DxvRXGRdKrwsiSpPdo0N
hrxOV7RnSVC2dXVWGtN+THXcLm3TFv4cx60/Wcf5JOdqDN3eTmc5V32gBphPKUyrBesaE5a0ye//
T9zGdauWw1jGH2biEOs5uJ9OYzZYeGaBL9FI8UWX9+M5Kp3Zr8p+DIa5TL1c2fM0y2ovybt5WcZt
e5llXCyzjM2XrI10WM1O6udUFH4v5vTCTKk9h51/cUhJykPbabFOKsJ8nlRxUFtE/F625aoYyvJ9
ZikFNGXl2cwkoVX5FzokcYgHld9ETA6enGoZwD0Kv0sqsepHNe/GZGTrgrfu0tqYhNROqvCKXMZ+
7igV1jFy/XGMyqCOabqqW8cNTTyhcSl5gRrPuDVfdJT3EkKEAF9rjAiccpTUs/mUr3SX0c2UyMjr
6CjO08ahV/04+Mg2Z2M5z0vVF/zULdi01JntA9YLfBq7ybmCIBMSl52jLvezZBj9GNlu22Oafp6K
OvmSx2Pnq6y1PlZztJvwgM5nSauPMUT9Fe0ysan7vjy1A2vXs+35woGmlfMGzParjkdXsWV0T0o3
3Qjd8lU7dN3nmmXVFURmd53Jov6VVJ32sdSRr2KRJ36Zdp31OIuFWbuM+yNM/sqLZNdNSz5X+RAk
sc4nrymrbhElZljwRrnlme3RYIOujvVpN5RxkNSOXui4p35SuI31oihOfGxr2QakQjTz3a6nrYfp
III+jd5T5kTnLE+L2SdcFcQrkwxwVilp+S85drtLhxQi8whq6vdNVc6+wVF8Lto630Dy608jmkwL
iGnTspk6uxmmPPmlxLbvfTeuwa+T3mm9kSqzmMvBxj7BaqS7pDR8IxmLWEhLdTcZYeJ1aW0VDl1r
N27W8I8sVe1q1kXOvL6lg2ddKZaWyXH2oEQsv6SFmcowmuv2i2zcxov6uf2YY9WtSlGc28T5UI1D
s7IOwp7CgnuuTfPZKzOscm8SqgX/n9kvmTRCeSKJi48sr7O10hM8AA1yHQ2p6095btcJiYYscEg0
Nn5bRdkFToYeL/NoYONa6KlXuzKPsLkTDm+6K6xzdh2XBR0XbemU+wZcYR9FxL4vssQ5rWJhEy8q
IEGHuIan5Woe3pWa1Q4kqYi9j/v+o8mVs51cPkZbxKbaF2KYhc/bFPkopQP1xf38j8uaXtnRzd1A
W9v4YzqJL3gi/ApSYeOuB6kzfdk2TbFuJU6vu7oCSoC7UQQUV4Sf9bmqvsR5Q1GYpFJ8sNVIP0+D
O63bsuTLKe3FVky9e6dyiZkXEaRXjov5LtJsTDynGqprknBxakf4qsZkctnjinmscSpxZSJR/ZIz
UV0xiNbXU15VK22dfhE3MeGL0iSu8BRzx1M6R3TFeBqHsgHuMrBIem0/yPdNgjL3vMGR1JveXDmq
d7ea6MZjzMQhMkVU+lqhCn0oVJ3+MnDdEa8u07nx8ixuaZgWHf9VoKSy53qudBG2qZ2112QuCjPs
1I03E4UvsaUFhFsnvkwGPnzM6hK/o85Ar4sW5xuFG74gdCzOo8yJ31mhkjWwGlN6oodbANcadEBt
3QfZmA7LqiDtFvaNuj6wNOeST6RY4qprfDvMxZ1MR7Jwe8eZfBJH/bt6xFYHRle294Q149lkctKG
8zwR6s1Jn3M/zotxpfHQBUMcr6OmGD8l0hmCop6SDzHJm1NJ49x3kgT7NmfU7+ED+3MP+TPXle+o
0V0n+Tifd20mgrpSTelTlDvAxdzlOOosgaBq8qbxTVS047aMrMNyLxs6spLNOA+bptDJBuhMEUwE
6+QGaIO4YU2XjL5bQn5fKi3xhamy2RsmAVNhLkTj65rWVzBqwfWULutuHCY/5zYQGZLbIW6mMCmm
OA9sUzcfy0jMXqT5tMaatIvI1DGkI6oWtuKOV2CZLaNijs/7eeKLlsEcZUnt7oRTJV4a16mXMq9k
dwlaj7X9KFC3j7j0NDUbIj/W/UCJn/VR57HRaT4BvywWLeblGNhx6j84yVRdZHWqQ2qizAQZtFqd
FQ4ky+WEOqGDxqil6xgdxEZlSx1xttJxLJYcpW6AreirsyKFYOvyDnu4y8twjBCeLpoRkWJTFDM/
FSrvLxKeOLXX00xvU6PMTd9FiUcyhJa8b7K1bri+6JOENqEui+muJ3km/bgY9Ae3VVFgHa7TQOlG
Ul8jKkp/wLTIwyJ3yRiOtkE68nhfQ6rtuUzWbjOmvk7LofGjKI9XfBzYGjoIy4WoaruzskNnepAV
AX5r3o9FQsmmj3sn0AOW0UpFUZWttKvtziVuV3p45it45cEXPXZWPe3xp66J6QUbSAO8upnQNUSb
hMPE7boySMY0Cuo2CvM+6jcmVrvauAsqTRYC6SmXcWTj3cB545Euc/bzELXNshets3G13lfUUecV
lYnjTTPJ7jor43MDURGyf5vHXj0yqB66KZoCw5A9lVkK7M3p0fsSpeoCEly1LdDAtko57QKWq7oF
GwnMibGIvvBMZKGBVtTzkacECLTsUr8YJIYoWjrvHTFDDJnGKBp9VVq0NGXehDLj1dU8CBZ5Y0vo
WR0h5adqHvdcZ9HlBFF8SWIHeXnLgZZhm/ld1tzVrMx9EaMqgEbLEjJnHAHpnHHA8XAW1UAK0oFu
KSAU6snIsBeoeFcSyUIBicbLykqHeRrJ0ynJkve4q88qItpFY4pmmRWkGeGt53ZX89hshaklBBKS
dasCaoxAxQlZI8anSzbyzGeZ3WZF9k6Q/M6J3PO2dwvP4MT41WjQIk3ssHZSFzKTbvxCysYTuJ3P
s6rKP/dT3Z0XwL68FljALplNshJuPGwk/mQG47VtyxaGGh/F47SiDkuglpqHYEqmfIEhIcVeH0+J
9tM4Xom0m/yIDF6RrMeUb5JJ7Gobb82citNYxnhr3bT2jKaD8eeSl0GGewcoY37rDlWMvaYfbkpw
pgWzceELdyp9VJk0SNzeXMYTMNqojtnWbTt2yXDubnpU9mGLtQqk46bLCLx9201ytB4tagwU1KL7
ach9OcHUcMY6Cwo+rqJMiKWp041r2iVKhgC7yRLJHub05A+WZwGwjnQT5Vj7NdHjtiYcBZOA3OTN
RdGtsczxQjuaejHjde3npmbBPI8rllarCgGHmFnv+vBHHRovFjpbR3MO8a/vAeqoLBw/yScnLJrE
2SZxpT4iXrJlE034Q+0CZVdVnG3Kce4C7OD4NHM4C/mg+tXca/KrS136Qci5vAIGrNdtlPbvjY2K
NbWlc4X7jl+ZuTIQK7mbeMzWya5udXKa5NUcIiBtnzHGUELjkmqPtcUtTSruOazdjZXeNnnEgwlF
n9AIuY9O/uwY7nepc1PpztmSqRdeOahm5UyZXI+kU6eDGNS1G+k2sHGl/QIDge2lpWFDsRtwWe5Q
YrGP0yIQKPISyqCKRPmV7kcDPMHWeywsC3KHRj6DEn/dULIazexsEE3z0OKhPWtV22ykMle8SHzu
WuERVp8V5EOFxtPOoHCm7oK04heTDOd2QHhlkvHaVXoRO/nVlNeryOD7tCRiL8JF7wM1/FDH6mOe
q4D06b4GYcPPalMFsWuTKz12+Uq1AgL7QO2OmYHAPK6LtXLN1uVJvolHNm9FnTih5G62yo27ZJMp
fKOTbBUhm66HNouXtO+uEbWp506290kGBd7cO5WByVGINeJQXM1Jbj5Tooud6aSe/XSwItAdxEiC
nFVSaBrwNkPLWOXRojAy2o4Zz0NHxc1KYaj0PVtpuUtjEnnuKIO5cft1nZlsmco17pItzslqpnkV
ljjl78pStjvEJH2XalZCzO1bFXIyQWI0eZ4Lz0ST2/mu7vhibtLyvTOoLHAplCizcICFzarcJgXq
r0uZXxiOPD1xuL4XYUL0ps2rOzvy+jQ3k5N7sYtsCAF+g0o3qGqcL0BiKtfaNZFf0dEExNTT6Uxw
HwjYJPWZwvt5cdGZ1pd2ZB87x63WvXbdi7GzfBGhHgdWKq+JszLsqxEtRN/6HY0QxLziIxUOuuoj
3UCFM6rpModOLOK5jqgXLXfJEv4OYOENA4JPb6TxZT+ocHCcOPbKmu9yy1ggSjHs5BS5u54Wp3GK
vHHGd9AQmXjNLDdKXY/IBGlCL6Y0W+dt+mmIu7sprgX1UFkAESfVmHlcxNWqwXWxgLTp+APPxkAT
B4WFkw9nnekxVNlOuoLMtTKYr7BsgoH1wYBc40EdvnLdAhxK5iFk2zsxkDPHcrVs5LziDt5yt589
4FqLqu9/6cgQ1/5IqVlXkA6ua4ymMxolv3SUzH5dOO9pqvh5rsd273BaruC8Zw3QFgkFxJpWUI0B
RXGuR0VPC1oFpR6RL4tS7CpSR57m5CME8NgTqOLvKc1x4CRiCtwJv8+hlyTQwq39uU4WwKH9ujT+
VLR3HWqI10Nq9pSsY890bu1NufhiJFmLJF3nZvSTIb+pRAr0kg9+WvWxV0ECX+RRSUHcWGZ2+uiU
LgPvcUyYDhFKvYxl7TUU2c0iY+mpjvp0qXB7MdQZUD2aJhdJQ9/pQk2+HGkf4AwBX8SgGElMOo82
6WKs0tRnKclAysPsbBxFE7hZbwNT6yjgVoSkQaGoi6L2Oe43zOwchbblkKbgjva607nX9XYTqUat
0qY7E7Ma66DpOhV0Bc5v4qoYPyrbbvTcGC+DgsPLy3ElqmxctmVKbJiNU7FO26ZbOEbgtYMTsjIN
7i+quY9/jQ2uffDQPZT8N7TO/OGClF6Hq1sJOtfNAH9OcY2B+q4TUIZCO/Y7R2RQUAsxL9Ao3RUj
mYbapDuPc5Bbuq4o31Os55XRUxd7qePSEJel9mzb10FVTuWOSFDMoGyIFr2cxfWcDKkfoXk8LWY2
gpZJRLUWQndB7YxpYNW4c2RuPTXoEYBC8bIkURpKIiflVSVN3/V8ZGcwz0LSTbtJRM1OR2z2Co1A
9VrPmrghjG0+Ng1z1gQqxbCgaArgmfJzOUfNqlfDtYr0dU6KZCkLXS5rVZr3jgXlu+L1RUct2JWi
NDSViAIncrowhjwPPLl3QHxlDFh4eSVQ33sz8IRpliz2kFPZ9Vya0q+G4Rde9CNIB3WyFmnMTjNE
TBD3iQMScWbKygP5BtjyMFJ3J+OSFx7oQqUMuIbrIgoiVGITUKgqfitB6vIaM5ELK/R4qZu4woG5
18Phb3IMoKSOC0NI/MHM3Owat7AbS8VYhk2qo9RzosYaL5pGvRxMYn6t9dAuW0P5ogCmCYTKdEHO
ICOnM6q1V8uSOBAXpgyfKi77eNeLaWu5dt5HpJw9XULpETYOxjew7osnj7jGNF5W5Ho3NkDJZFTi
VT9gtB1lbGF22nxOvHES8gy6XNJtFDfVCobQEJG03UEtT96nKuNr3IrqS5OUQB0j1uyGGgom61B0
SSyPzx1R0GWV1HpZNRYIEBYVDuO0g8zblznfob4NaiB/sJOZ1J4GlWKnak6uu5zEm2wi5AYCvz3v
BE2WfVy11kN1VS2Jzmm1GFFOuJdV5ehD8V9C6pOzP7GqB5mt6kAJKyaS7F0B8cJL+WDeEeyedopb
EDMHe6GrQvh4ZHeRQvQTorhIAugciW6jLM1vgIb8ohU3XmXqS9I1N0SZPujvBa9uHlbtPJULA9x5
O44IpisH4csVtl+Nzmz3JU/lyi2Z9ss4QmFftDCLQB4M4snMF6jrRx/WEdrMm6QLspkhLbgWA4FO
dFBSFHJRpLo8cw3t/LIa5bJN2nf9lOTw8esPKa4qv05zuzSEi7O5jdOryWmqX1nsOomHIjksKe9Y
5XeMJl7JobCJo5skUWoNu8aB7nSFJ9xuO6ZaQ8Ab9WYi8ksK9N+jOm8DAxIURIKRl37fueoGZzkk
k2Y2Y9C12O7EHF10cr4QsVCXiXRHH/dZuSha8tkmLkxGntLTMQduXOuZbhs9OftexHEYFepX1WJ3
Jcqk94AlMX/qMyBhipYOLBFlej32BK8g60JpTDYpsKZ3OsP8jGCYflY68aYbXWcFhd0QAnm/bFPh
eCMsTC1k1e4wEPXGbfslnUGVDHsyN2vTWOesn0YFIga7SUoBjzM5LK/URnuJI/qgIxok/BpePiv9
FtNzZ67QDlZ2Z8+NuN5gN4ai2BgFypAw29aOV5jU4Jy1lZ4cBrwhkbqexpZtE2uvETiRh/iwqHup
wrHNbopMn03tjPxElMwbiU6xNxvY5eXzbkYrYet2QYDhQCwEaZSFreohJg/SFFtV0DYBFaBmMJmH
GPRqAQEZq7p8NylH3BZcgmpZJMoHYjEDvLxZFzANg8ktiwRKalMuSgiLp23SRBf1PM+bqRXuqava
zDelfsdjcSkarRYdU3uh8TYb450LaveS8Qao4EQvFfCibZp0fl2lQZrX76dOf+R9AUJrUyZ+VUjP
MZdR0/8Pd1/WHDfOJfuHLm9wAQjyZR5IVlH7blnyC8J22wRBcCdIEL9+stw93RLdkuarx4l2tEOL
QRSIAxzkyUyIzKLAcj/QoE59p1V3gdsO5/3YTtlchOKR+jI8qYYFKY0Z22waoqywHst60ZEdizon
r6c4KfStQa3psliEPJOIta+14SVPFeuQdk8DsBdNEQFFQy887aMu1pPa3UXddFbMJMqMN5zC+aht
EkJtmUcrSoK6RLaQSLZiO6kVb1KXEheQY9jkQV/HeI1R7T+6vSCHBKijp5FRzTcPWAPiR/vtBRqV
Z020fpoiQFTK8fct1rfLeFWSpc5snO+2QmKG/XC5LRc7nxZdU4kkHib3iZaD84Bzf3BhMZUfTaPm
1ABjF1mlxXiNdWHs8amJ+hKaeP4u2IRzHUCDeEZRqKqoPR8bWlZAb4l+pNNYXs+OQRivFV4CakyL
uOJ2kWtipxJppuqC+EF54XgqTGuxXA3u/LxA/vlJC080uWLAqZqCtg2QTEJaZIO+ui5o5DRpoEw8
JLaoF4shKUmXguRYftJqGU5RjkIa12i/3ONETU6YrkubhG3n43f9ek7japmfJGu+izpw0mmdvuNY
7sxJX7Yyc3v/u0LCh4KbBWCVOBKQyKjd6Hz2pxIrRYv/Mt014+UatgIppUufGlkhlvBjd7x0gnD8
Fii/ZOno83bf6Zn+IZGQ7+1MwtOIF+ElqqzmSg9tDXgMNeEhXKZ9Vyp6q0OCFU2wAhOlZ3h7WoTB
iePwAfUnsaYSRmYHpKtJkCrOcFmhet9Mxk+ZJ8sT1wx3oSEoQyruNakk1Ekll+pyckJzD2RN7Pu2
Tq2dYzeNnL6eEl6FYYnwk3ORsdCIjHmcfmvbfpp3RLn92eio+pM/xV7mA5U9YUYF12pxqjFlPFpQ
ivaDNOhDZJXES92gYNj4TLlHRTHvF0zgwkZfG+EW+6jn8gYTv99ZJ9anrd/61+4svsYjEL2kRE6b
6GV+Jt2k05EU/a4i9kaLWWV+V8eJdq1OuPDXNJxqm/XrU1dm1ej2SeC3V6gItvj3vfep6PpsXqsh
j8vIPjazcDNTtMNOS71kxngs4Wo4CxqKUwezwwlOgWI/Bg6/052LtV6HXwyfxLqTTdTv3HgeLmUE
8MsAArsjFa9UIhtKHlBssnshJL9dmqXcT8Yxz3zyfigL0KGKObluhqF+bErsHW0VuQkEHOWtXuIg
n2mo6nSIe1EmqKKENpWWx+clYEmcOiopH4R2pzvmo+Cz8+uymNPad8tzGq9ICYqIeFkRYE+mFUu5
Dcy9WSvvpKR6zomJcUBrD1W18nQlLUqnwcx2h52a4eCxY3HdpB0IAUnn9e6j0d2QGD2uQFNmdSjM
epksl3nX0u4BJzNkKRMZ8qjtgku5yHlfr6rM1sr/gvobP0ciIi8Ussm07nGgWcs6PKcdltpZSrVb
Ufu7VFLQz8yxu7pwl70sg/VknCZ2UnXdcN5Zr9xXenTvxOLPOYoMgDmnbumA3axdn0/Nwu/FbMIr
wJX4KBJFQdY35Bylae8Go0qQH5C1u/S4pimqa41JWst80Ci6yF401rCf69rUKkf1BWdAVN3M2TLE
ZRoRi9kDLPWhsERfB7q7cQqbNUDzLnszhadEMRknEIC050VTAIzrXWrxC8Os97LzqjS27c9+Cb0m
WUKUVFgb6D8UqAP7yVH8JCgUnteOnZ97SBTOiWtOVL3CM2wGjWcXz87CkoI25SPe75fV72VuACJg
60JdPSlqD8c2w7NQjk8ukSIXpKzKZPEEHRICmA7gDup3bgY5sKMTG+hwt1QhSoqDN5+v1oRp1Df6
eVqD9Uau2B+7nslkEjgYDEF7zho6jkkXUmw2qJkj/+9XUd5NfdQDLpZjcB0UWKGn1r1BrWFfLpi/
NV0/eYpWf1inLh/GeGB/oAIXX1DtnZVaBl2C87YPtMhfhgZroafSwTjtk4OC7HXr9UNCm8bDrPCc
zK2C7ssSy2lNDJ8rPzFlCCgYOcN3YKA4efh9cF34brADMUi2eHH1NQr/5rQVTdwloyHueVGXCG05
ocDk0B7ELueZD2b4EgvkG2nYzu450GfsNrOk8jsHWIljAlnCPFg8eQLOTowXpPvPAIaeS2G/LSZW
2MbD4VPgC3Va9tRWCbbT8snD+fPztLoo62jXXU+WAXk6zhojTlOuAjsAZ5asiMt5V1WmuY3W2qa8
icLrqa7Zzu/UcmKbarYpkL5p741FS/ZNt4CTsSSSLziJTk66qiD9dcCpAEvsLRtuUfHykqFsPaAY
xWhOIsePUcpwotzpjX/bEne+YA4qrxPWozuQPJzUAunPkLSbG0ULcuJPU/Ekpib41FdTBa4DWCuo
9rggczhkzkd9wMedavCupL8Ad3KHOkLBaxrTZaiytqQgE7ECO0HZrADa57KqE28pssnx/AtXqyad
Gh8kn8aGfpe1EZNZ2IfNLmLjT+mVUza1vNfJKEFnGCpld37gPTBg+2kJym4eYjXdob5bXzjKv6Fz
Y/dj2NLEp5ZdrUPf4rxvzLdZBf2cjNES3RIUvwcckWx85ZZefYcibXzvO8TcoIAdfvMj0Zw7a4i6
WuPOZ3Jgq02LQuk0aEV0T1ZUGddgehqBQ1fJoAd7GZSm2oNJM+TYSsF3KVd9rf36DuS96sIg5zqR
8RhkZIke+3oQ2Sj7EqlkZOSnHnydm2U21CSuJvLR9BY1AieyIDeVc5d2gb0cMCHSpuJzkNQrOx1F
lYt6EWe0LgFH8ig6k5RedbyqMx3U0UnTrs0psIw5tWVXIyLMcuZ1IM5YOQDfHBirUx6t7hNvBrA+
giD47ITBXTTwT7HplhsxFE3GOE5x1TAWWb1QkdVG3grUCUuwoU5IxBA/cbyer7ID8qpMc1W185A2
Q3UaIJ29bVgJ3ACHqIt4rdcqweEpuOxY3J4A9/sejd0DcdfzokDBKHLoWdPXKNq4UaFPJDfukxh6
th9VHeeUkPqTpxkWrgk16dNGNmdeG+pzYALghBBqstLz+0dVYaCikU8Jjsl9lAwoVLsoPoyHJd3p
0z5c1L7oC3niOyVoHa0Gbcftu/1STQAAjF59N+kK1GUFcdUtlulZHUryZoedo92jJumea3/+0Q0e
sJ6xoCe8XADtKZQir7Bu0RT8r/UMfAKC6nRhHuapMFdRw5eTWEf2DhRLtbMlByQVe81dj+TibplW
f1eIunte1SxFIrSZz03tjqmAYvBnaAL+OI+VSYTFoRSINO8rRL7tr1Feij83pVqzrmyBGojWyarG
r3a0oeJULrQ9rQXzb70yLK+CZgRQboUa0ngJphtgA+K7WlBPTsquIWkAIBJ0By88X8ORPHnVYrCe
2RGooaHn2q7xkK6VUeBtlagnQLP4vecxOUOiUnwHSIgcQh6gqKCXtyUO4TUOApqeRdPTAQr67HKw
spK4dadny0P/EehG+Qx+mr0GthHsipg7OzvE8odwiHe3mhCVA96qBy652KEsgON946xJEHfsHhx+
Nxe6p6kfheJuLlA+Tzui1dkkZPWz9YL5vsH2isLMyq/7uKcU3AlVn9STJDtHcn6m6yDY9yP2Ghye
G/dGqXV5BswSXqJkpXZRG+kKU56M16gYkPta4wDutGt1X7XONzkO0T4csH9qxc9EYUaUc+hwXfTG
+0qbGbBihZhJmnZysSeWDohBQw2KjfVPx0o6CeCZ+c5alIsTf9FDphrW7e0AIKOT8ZJ2se/99GXE
z8HQ6Zqkc/SAcy3X4iZEcrBHMY6f1S3icBn6GtMWR30cnYEWoBrl3y3tyO9kHLe7AkSAh4aX99hd
kfNQnKWx/QYnQ80YammiOh8rZT6Fi7An69Sh8OTg3p/ER1qbIUeuPseyWwFGO1w8zYQBc4uVXAA7
AN+24NVgiSqdas/cgJyPfmi/Nl0Z5pFA9W6c6iCNceRMY9lju0Kt7x5o2HRCKTuw+w7Ye+fq8SfI
NWsatQW9t71nT+dVqxTvbUxw6IrPumoJgWmgEoNQ7ZOJ1Avgk5EBV1hDx0tAyysxLVHBrs3VXE63
tfUmMOOmea9jHu3BJkPOWZRO3qB0cz/OpsOJeaQnLul9nKoib6E4VK7RT+uEFDuFbT5VAmMQkjHY
lypsT9t54VeD1MM14WN1Jjz0v7AgCiYVIxGG3PuBBce5nPk6TrtQOZGTUKWwBv0/cMWklL5a92Je
qJeqqP1B+5bvDOXqWU1rgRIKKMOfQoX6BwX76mZuuPxSxeN8RQMUXYDTggxbzY7CiiSb25cXBv1F
Z/6TZv297dYBRI2/rm36+8v/emhr/Pl1g9A/3zzc+vTPV/mP9mANNm5/6UCE//u38Ji/iPEH9vmr
L35jwr/Bdb/7da/UGz/8XxLhGaS5LyjdvzHhXyltf/yi6P+iwf/57/7kweOqAc8PYMbFQtRmYYID
JfxfPHhc7oHFJYSTN4WeLiL4yf/w4KF+dA/ShoAdbmsJCbrxFxMe1pSwy4f0nsU+JCm4TOc/ocIH
0FG8oMKHh4teGIAyWCuEuNkCjPzXVHjaLlwMAWrF4QIKVz3m8RKpi6IevgAnWbDguFkVAkaRg845
NtMUrhmPgofuRTvOT8Ein3FUuwoHu+ZGzPpk6qcbWTQMSKxXZq12ShRDRpIOVD1N0SGXi6snbCZZ
PK9nAS5oSBp9IOignucv8vrF2/gXgj2EBNsPFwUB7FeRN0FPQDYfDkmwAMzckszUMvMASVT8J/KT
Gzdk6X/2JEiDkHkB5PDwB+678KJ4qSgonMFjc12TbPSAKGFpBIXvYp3azAPh9P1HHYSxLz4V1Ask
ZMQ7/BVApxz6G/XCGpZL7Sy9k4FQ9Z3xnqUoG+Ec0AxIUbxTPrdFqsK5AmQEjjabwalzQwIIATTz
nKP0f2J1l5OSPeO3HpqmvnSobzNKh6fCWc7bkH31RUZoF2Y0bL8Npl6RMwow9Zv+YiXFkABNW/Y8
cM/qQI+nwShA+ZyR1xCQnjLB16/hbJ/7vvwS9AwMucqlHwy3d3hzrxQcoJbF9HCHBxi01PMP0/qF
bgKkNTGvYD4huY9yAZzGq02fdgJwVcvzuH3q6vCrE4EeIBQOcagHkbn+Qznix/sv49eDXneEeVBk
BpApwccq8jYdWYUxRV1QAX0IKg8oLKw49rGnqBgHAKnqu9LVOcFhD8zz80HbhxYcIxTTWQ7AXoHV
6t8GeriXKAAa2uekYF+tLL7Uq7e3ikKy/K7eZKt7geYwwiJE/NBlEOYEm1naoObvVJMRO9e1EkTZ
9oy5ywOZ3fveCS+7Ccdn3Z7KGAQKE+YlgBhHGCQmJEgEILjBymz2AFYC40+tEoDjw4elG0jyfj9/
e7voZwzqQBQShBLFSvf67dKiZxCwMAf0a3XfRbLfL3W9JP1irheqz0c+ekADFuRD4USSarBf5t6C
Ogs0DZDC+505jMnLF7zpS3QY0xczzQ07TymmeMZBSDZQ2FSxhxJRkBBwH8YPH/drTdo+72CpAoQE
CijY2L1+Hgt4FVnF4gxKGNTEQZFOognAbr1gVpB7r1Agxq51m82tgwNfzcqbUIDm6YovbA2CREo+
7oqlVkkTN08H/KkY4z2wkwcLdPfcFyHodjw2e07L27h2dTYBUHICexFNI/iaITfA4BoUyAD6gZTr
7cDFOIeGSaZgS9Q7QvoL1TvFnq/QUnQxDgJThJp0S3ub0BoiHR9ihd0UWMi535u9rxdzBqHY4b6e
g2GZd7hPBvveqxexBq5CIQQvwlqys6QA3HVlZJRV9eX7D/J/DxOYZwbYFIFYYv+lm22D2hCCKI6Y
DiQD+ln9aKgHPCrqkKjGgc7iUXyWZrknvT2d9HoXrP4zj+oxmUf+ZeBRChTrj4LZpHGrk0H5D9M0
XJpWwS3lvQEhv0/N1/1E/vBqavKYFX7XVyD4hwcJBriOTKaurJ84NuiEoUyfiW4uUaUTKFWb5nIw
gDCjDjINC7y1XaxzhdzU2RnTByeBLOfLYRxqkGqW6oQ2Ec+LPiRnNhyqR72g0tH109XcLnNCOg2c
bkKp3/FRkmtiPBi0gDUTdlUJ7wkEQwtkQk4PuhmY3hqqhPazmeRXLjrAat2yfgHF6dG3UZhZZA4/
625Grs6LYc91X5w3YWv3lVCP74/Z75MI2Q79Zbvu4f90E83VFCPdCJo4Kyi/mlpwxqY5LQOW887f
v/8o79+ehZwD2j4/gAe8t9mnjXRBZw/aOEMZNTjT2n4GdhKcd8NaPIoFSgHwRUFmXy/H4mfBQBdu
gxFgZYwNdplQy7GrF+KlgJfhxesHnTs8+/Uqw4KAImpjBBW8ezdTXMnZqykIY5ms1dla7Bl1zm3/
6YMR2GYqDOJGF0b3LsMzDtfYvZ6gg18Veg5VsZOeOPDozMmKOlzG6ZTbUoAmDyHIUnTdV9XTT3JZ
bynoEdJtScpIowH7113SD2UDwYO5gdZJXChnAkDGGfkgofi3nuIaPmyKmBbQ12wWl0kGXIHizLMo
bLGqlPV+BiMJikqRFC6w1FCwvevy88ifPthfkMm/fhMwWcSdJWHIKHZlul1s5qiebFu0PKs79sgX
hiUG7Ne4hVTCv8MBNi3r/oNHHqygfnsmblLxcTMqdtiAbt5LXK8gK1Y0zuKe57WPo69fduasAz8q
80uk9jV0+NX8CeXcr7IMv/rWFyl3vuEu3iIVTtteRab5KVlw6rUsLeXD+/OG/LYAR+BdRDESXJB/
INU99P/Fnmuc3mtdf3IAp+islEPOKd9ziXDBURloY2XVOcEkWoz/U1Jxpm34ZWwHSIlC/jz0tktk
SO78Zf4phdjXYDQWc9ujyF7eLGGVdwLVWdqWSdy130Pst1BpFvu5cGKU/qvcdmQ5k1XQJ7UZs9Xo
fl/R8cdauw96Jc/AybNxbfbzUO1JwZfdHIDL8P4IsNfHMmx2uKcDxxYQNyliBxDN6xFoyhIkA0+w
bJzZg1/TWxu1J6wBC6vrjEpVPA27kYrLDlrd1OP4TosSHJSo424qxrtpWO4I4ILUdfwoLSsCFGTA
Bs/cJKrdJ9aHwGDjcUE5brgoUPhK4hWLd78U+wG1o4TVFdhZZMlKzr9GqHQDbY3u5yB+9vzy0iuC
rFL+6SCxG8gVEk8X6I3V9g8h5w50kP5q0GU2o6OeW18rZS6MlBeVqmhievp1nqbMCYICBcsln6bw
snWqvMcZZGdAlUggFLHgqwf+Djg3uJ3QpoESUiRTbbLVq8xekDGFntFJ8KMzn3bfwZm6bhXUs/Gu
nH588Cq2sRIFSJcRmjjaAXrargw6bHjD+gD5mJ/2IIqyk7k96YPEQxXg15P+AjJu/lx+/y8CKN9f
XkD9Px4Yv4CQQ2b/d0rzG3zyyqXh79//EzaJGa7X8rB3HoTxIQAVrMh/wiZhhHvRKK5GA0CC62xA
K/sbNgnY/8fBBq4DeGEx9rcD1vIXbPLLcwA7PlJqHJ5hnuP/J7DJIbP6Z/t0YGiAEKXwIngdliM3
vIUoPzwRXgb27zjDRPXvz//XDHjpTPBWu4fvv1jwYh8awlEZtpsoxCsJZG3rZ+GHBl6UxzS/2e0l
c6p1MQ3boQgyoEgQWrd4KAwqxe+3/zrj+WdY/E33a1sB4ubhLvbpaG87r45doNiSeglc1mo/IUE/
8Q9SmLfGarM0jnj3EkSucGcO5bIEEDQSpnYNI1ijvzdYr7Prfz7MJkVkMXT5Ml7DnUaB69LzFlLf
L650kWJHoK7lDsi8A6pmfXf3/gPf+EDRJvfoIkhu2OGBs4qZOWuF5hqqDS3K3fsPeJ3k/P2JDiaE
L2dXVNrFnSATRyl+ZMtZuAbcT7tq9MUFrYT0Lz1daWibxr5ZQZNRxOv3biPm4eT9578xPQ6Y6svn
1+BhQXJasLwGUYvfsbru9WPQ29g9mxwRs1sYfATh6fsP25h8/PNpD+/1RSxBQTFiu17pThfF3KeA
GXIWeD9h69BDftUXy4xj9cqci3YpvGoHclobofBcRH4No+r3ZtBbL/QwDi96oIq1nhWF2cOCPCcN
hvYno0v5wWC+1fhmCWqxLKA0PdHduo7syW3XFqpu/RFy+lbrh++/7HqEdG8MwFuvgrL84bZje9E4
ZaU/SLffan6zELXOQrteUAq0jM2P3gIVtOEoqh837ptlaFCL7Dq/pztQDiyEWcYBFT/sWuSoxz1g
s/T4pvAiEBax9LQE3gRrCFJb0veI2+yoB4SbtUcNMM0BY53lg9MtIAd5RCVFEBV/HNX8FsvywSNu
wP1B/apdWXgz4iaA6bGeJufnUe1vcbsxcrW7GBrlFpKN3VoQyGFMWY3DB+N/mOP/sv2yzUIStxVR
GmXYvAWbod4vgwcRglpWVBrAfiDxkY/ZrCABacEg7BywxiftTyeAIhqo4RpPmV1XTos5LpLZZpno
27nngamjvPMr+wDNlrhuoPx5eP9dvDVWm3ViqUDqXpBC5T7UJTs1Diy4KMja9p8rHPzNB0P1RkAf
bhx8uV4IMLsrMDeifFBkPXVq617HhTeoP1NjlPxgUvW/z4tY8Lr5lperi8EJcw31Negs0pDn0Lbd
7v0xeqv3mwVDz6wFgAHl6qzwBqAtBLypHRBRjmt+s1zoEn4uapVQMY5zhXewRsZJRncF6/e4B2yW
iyoGwQz0mghqrRoanM6jzbIbJLPLzVEPOCThL18vmJ7B6IErnQPyLB9ZNI43piz69bj+h5tAgyMO
bqiAnDDvAjKVkIQEJk5EVS/ucSEWbkIMVh99OPkDy6ux6MjpWPtzlEhN4Ej0/gAdVp5/WZHCTZSt
hSzcesEr7vnaDZksgGjc1I6dw7Ni4nW1M4W/Nk8KHkxfdFMszZFZTrgJPIgMOGthBZC3KlLdmXBG
znBwqGJkjdG0SDJBiSYtwE0RdvW+MrZgWUiWoL2f3SnUH3z+NyIo3AToClspCHAcoEjM0VlQLiyP
mAo+mB+/qmj/Nrz+6/lH58nAnKyP88CFUnhnPT5PO8qtVScdylvrdTHW7c/OIUt9QmzU0CsoNv3m
0mdRJJ8iyHvoB11564NuYjlqJO3apSR5x/gIZxkb/+iMWfrj1lG6CTTtDSHMHAqSF52Jnim2n6vR
derj1jl6mL0vsro+KBrpOAzUN4WTTKq9CIxccAvX8YNp8EYYHK5iePmAsexX6pshyqd14T7cmYbB
/WY6DyEhfOG2SVPqrk58G3bF9662o3/kuG0CPFgahbc8hHkY8VqDTeyPMC6CauLIJXYLlVpiqx7c
W7YDQ8zbweanyGwIatz7y8cbs4oevv/ixYQQzjWyNxaUVxii2QZc6HDo5AeLxFutb4ITl2kIBxCa
zaVfQlAEV4eMr61/5KTaxCYOIm0EAwKb+zg3Jq7wPjcF+SjTe6vrm3DzQrAIjSpsXrB1utRrA02q
6gXcI44b+M3OKeCN0gXwlcodXsenPmwTID6NSH5U62QTzUE3026q0PrEwV5bAhiEjLVXHtf3Azfo
5aSJGhTNZobX6kyA5atAw8kE7LHjFrpfRccXU1K6zuAufLR575VqP8aQZc6U2P37I3PYF/9lQSeb
eD1UVa31nCVfHPoDJ8Fq3pOp6pp8Wlh45CfY7MnQlczQPXGQPBG4d/HUyp1H2uoDbtEbM/NA2no5
+lODXAU2Y0veEgrVVEx1Bgj8yOVmy1jyJojrIit1XoyKnJeqZoD41ZFd30QsdlJewcxngveW5B4o
WT7EUsJUInv/5b41NJugpZA4V44F8tId9CzVVEwXmvMPy95vTJ1NyG5NWwO4OqhrOoC0e9y8+cW7
ejHzK6+c+2I+OEQVGh5+HX1eY9R5jhqbgxvuy2kDHXlFoojPu14JD5YJ2k96GLIe2fXN/hvAUsnn
Mpox8s7z4CMBg50AP+61BpuYrTqQiZ0x/KvrxIcPFp2hZThuYLbRSiOuI+HNu3gBaOwfWocM4NjW
N9FauXPHFUwgdkbGItVRpRMQIeWRfd9ssJAKRKhTumid+D/6kkAOUBZHgk2B/3rGVKZWUVmg8djq
GqJT6EpFFZrjcoNfvNAXk91MAeNqreYdnaD0MRCDJV7Hp+O2qGATqzU4Hg28J/SumS2EaKL8oaX1
jht1f7O7jnaYIM1e9K6uBAG3mj478+gf2fgmTl1Oh2AVzrRjvdtkMIb7Omo7Htn4Jkz7MTYSmbDe
SZgjJqEsIQ0d4LV2VCT5mziFaa8DbnqMrsfauxxRHrnhDLZXx7W+iVOjiQ9j0VjnFgY8MISEjoxm
Dhxpx+PmjL8JVTj8xLXuijlfSQ0qqwMBTN4t/vT9uP5vYtUruT+0psbOykd1BnNAD3aFct0d17r/
Olj1AHedAoSmfIqDL7BmvB1JcHtc05td1YyrrNfVmfJSOFdYHp/hNXEkvvaLCfdiFYjLsmZewyBy
WESUaUEfWphbHvdCvU2cNtXoDHGkde6UU5lC53/B4K973GTfUkRQFl66EU4Wu0aZP8rV++zTGrdd
HFG+8TZRGpVLAQNJZ83R7DglME8H52Qdg+K4pfcXb+zFoM8Q9ImKDFMOdpb7RCasA8lYWu+4TGNL
O9O98l3FW53X7WCz1rBvouz4kcO+CVIelT2bS2gB6DrAprSGr/ZYfVR5PTTyL4eDX7TgFwMTNyGB
q2Q95bgsIIbyrvBg1Me7z8e91k2I+pM/DSAwYToKuIkG9fIEg4YjX+kmRi1pY0jLKp0PFIpKLzLP
qo+Ow2C3VwQQ+CcvZYC2HTk+EL1eUjJ+wHh9Y8C3lFpoP3gBAfq0c7kDX2XJL2CGdCQ+4G52Ug9u
WMw6MFWChOUaItPnCPSk45aWwy3eL7NpRyBPH1qMiRLNLdhze16L41Zyd7OLEjBTAwPQe9fa+WSA
RyGhx+2g7mYH7VY6wewDZ7uwhkNMa/Jm4MdVPt1NWJYKpH6t0emu/mRnnUr2eFTQuJtdU8Vy6OCu
5OyIqKAEiW8jGx63TrmbeNQ9FCPrEk75Okrvwa6Tn0sdjNlxHd9EZNBw00i4o+ejg+q+31Sw6Y2f
jmt7k91Wqhwp81xnR0tkt44bfiVxcNzG9hvfDBO77+H8POWiDE1CYeWWQcI1HxU4uJDydeBEoBNO
hM7Org/vhzaLUF8+Zkx+E0CJQvSkF+uU6wj8iuXAZPb68OG4xjcxuYA8ArsM6Bo80Z0sCuX2PoA3
6nGNb8Jy0NqtYI0x7iJFbwLdfS/hJX/kqGziMiZ0dfsoHndDHdxQtG30fGzbm9D0lhIUbwOBqoX8
8EJHhTzrCUzrjxuVTXSKkcwK+SwmCuQQiXXlJxWKoxIsEm9i08SaLFWMyDe4SQQcVcLDFrzjg+nK
cZ3fBGi31ISDRTHlBem+Osv8GcWHT0c1vSVrzbBVgispxkVr3AfUQ2+bBJHPjsojAAi9Ds9BzAx4
tEHHYZWhW/fMzLDEOa7nmz1T1gykb3im53DFu1QgHMIOA7f5HNf4JkJ1MYBzqWd4P3fqFsJvuNqL
o5IUaGU3Y0IdXK4TQJnq+9RPlxo+nh6RP4/r9yZAV1QURjDw4aeuwmeYmZyVjN4f1/QmPg08ZqvI
d4Z89WAkqlqG26RqeRx1AVqz16PS0qWJZ/BrcpSQYP9jW7hMwi7puK5vAlR3/lgJbxlyXM8BIdmo
B+ccjvHr3XHNb8JzcQKsirjLJ/fn9Y8RGZwZo29HNb1lIE3YeOBQCMf3KizuTNeduvVH8rDDlPj9
dAKG/usRn3lUwXccrlN27sVuXgo/c1Tz/bh+b4KztLADGEwF+bXo0orgDiT4O7/f9CFO/q3fm9Bc
HODBc8cGGLzMVMOqJfxvzs5sSU5ca9tXRARIQsApZCaZNZfLLg8nhO22BRoYxCDg6r83O+Lf3sVu
t//gtMNNUkLDkrTW88h7FAYD8iDBkc3+/Ud+1zibQRqqeq5VE9pcV/SLLtlHr1Xv9z16M0RnJCFq
HhUW438Cwra3UEdMbN9VHQpc3n5VATFLZSnBi7Pgo5k8QA+99nXfm2/GaDl3rbJ+2echqZg7goa1
oFQu1qU67PuBzThlpRAxiIDokrP3XMEYV3X79uIo83/bLroKO2yY8ehiSZ4Hv3osKN91DcW2SUU6
XgrTQZOQ08KQ3IvJ8BwIV+1KvkWZ+NsXJ9Hkh1OFngjs8ZKC1pRTtjOjC3X4bx8OjqY3zH1p83pC
JbA/RSeUzOw7HUbVw9uHD5aNYIiiyTE93k4LudXhvG8MbdOUEgfWlOyEzaNCAN67LrcQAe27NwOX
4O17A4QKOByY8zkkAE806O6sP+x8783otBVuJ7jzurznMbC9YI+p7tOuscM3g7OYoVsSLWrLOFom
hR8C9eWLiffNh3wzMgcqOw/A9A73NiVKqYl6Hr1kXwi6TRL2QVld6tDvclFRI1OHg4rj6Ht8X8Ns
U5GkTJA2JheMG3C24ELj/J2u/HXfF92mIoF5xwskw3U5yhxJFvTsASvpvttztk1DGr06hoykQXdp
EuYrzLWg+aDyNJnUHxbTa5/+h8X0qi7974Mn5M/6IHHVaHtRolazxuFZXhSs23ePwLbpRosagfQH
qh8apV512eRa83NMIrdz07hNOIK2wmewXAL8Xi49DKFcpmih8LRrTG1rWaNonmMfBpl81JwAOoLE
b9Btds6P4WbEwsoV4BS+bvOeAf4HyxJRX9Uy138iPvzu227G7FxZbt2MtgE9FBCXwXyYdbBvzdvW
nWvSgNkCMHJu67g9L73fn5xuyvOudt/mGwGlShfQHNurcmv96DeFOCN+bf9UlfqbhtkmHFHMk5CZ
4LMmddH1p2iMKUvDouF/Kkz+3Q9sllVcxqmmbie0PO3dxdr4Q9npfWfzbJtyFEEUhyRg2+YRG14q
0T8Dz/eyr903Ua8oFke1Fl0e1cmXunFAiKHcOt338Gtj/ddtSIcj89iDIy2nVsZfUCQ9n0dlpp1d
ZrOyDr43LysNmxwjFWpHpL6k3uJFx33vvhmqdvFwR6/x9BAV7OlV56XqP2Ux/R2C/sMczDbjtKtm
pNfFYNtOMGIWKW6LwaPzYQxUcAAmQp1NuzgIEGCKowAoc8D/yy58jxK3qHsCb6a3L0lkAFLHvWRz
lqpmPIUVDYfxYu5i36Urk5394DrijZm/dLX62sDk0mUcgSUBRwpn7ceoHefxatsCcA4mmWG+jJ0X
y5xEc8kuRQOaAYqfcZrwyUNm73IKqOyjA41mPNMBi76CHJmAyuFrso4nQ8i8otbb0PrLfHV+Pg2M
e/JbHwDUnsewL065nfH3wqG7QiriTyEoIxEB75cvERCXAuXIyR2Pa5Rq+UADvpA4gYCGcGDHq96u
ud8k8QKMjp4YHAxMhMcpcgxH2GB6sgzmHwNY5gT+ZhZb8DDgUKhscOsAkEsumgYDy1e0tstCqqbL
CtTug4VXlR0Ae4U1Rxa2WF90IJtoXxSyzX7p6mpAfnvS5ACuAIFHJExqYl/VCkA7b4eWjz8tBM6l
yZemLcwB+jtgjjtICvdFf3/zDf5r6JqZjVyNtMl5WDY4soJ2StBk37ywTVOjDOAd1ek2L7n5UTD1
UkTVzkaP37bLhGukWRO8dzgWeQ/scBEG+042t+gp2BbpEuD4KydJMqeFlyjgH8FK2zXfbFPUrC8o
V7hxzAWRMp1V95NL+37fszeTvERt7lRHfpOPy9g+oPyrOjd0MPvmYbqZ5Ute+WMNqV0urGJ3DME3
6grG4fO+d9/M8tZAkzu1U5MroPtebQxdnTV1/CeGyW/W7W2aV1BXwepRfFQuTDgfSV+PoIN5IZRv
u95/m+oF8ZkrvHJoclxU/XQtuwmhadk3SMmms7ejs1O3RE1e+gnyyIYeCoGMJpL83Pfum6BmAg8L
pjrS5rpL1jiNGpg6M5x2QCm37wc2exHX1jrwZ4EAwQdMaIycPFZVtTNA2FIG28gVcoXkAqcRAyi/
Y8Cz1nN+vu/dN93e+aheDiGOQyWq1jecTuGQ8s7yffn9jGw6fi9rgUSmBjNZPUY3ZU39L9jTLvuu
JMgmvIlmeB9Nj3gVR1nzpWDFmEf+EO3s9JvViVA9JtV1ggeGSGS960Q6gti+s9dsDvYCG8zjjH1y
7i01/VEi2/zHakazL/OTbZO+gMKqJbjJbR7yaPIuKoGm0i+cC/9wd/ib8n62TfxCPSjgZjquc7hg
qH3fqmpqsiKqAXp3feO9R0XYg+cBLXxAFKeSTCTYjJ5KLwybfV9/mx+GQlpwriXiT7d0ZZx5RgJA
Ycq61fu20dsEMe7DvkS668wEHnZxC9EGKsKXbhn8fVPfNkVs9UeLklQCdw8NKsgEnHQslYpNO2OU
YDO8eb8aWxP8wDISpC2v48dee993TR3bLDE9QFeRjGudt/Zqcxf05zqEe198M7JFtwY9KHomR2x7
0gSaQ9LvOwLYkkKN5/nCgSCSD2yCQ9xjuGpw67t9jbIZ1QNI7CJwU50Xo42PYwk8ugmrnUvlNk/M
RVUDTKyt8wrmjG8gb9Lv1sNys+vdt4livWR1w+rA5AhXHqJpvdWd+LLv0Zs1WECrziCdrPN+JuVN
oG2ciqpx+xaxbaoYxCYVNMrU5FSBOZ6CrtrdlNFYl/uG6TZhjCVzQ3ntmzwKa5l1SXxWDObBfU2z
GaK2rYUokqrOE1a6O1AfAd0b5PT870+/Bsf/sEff5o0lTi1wIWJ91yvrEDX7vUiO2g+a5sixMap3
xVjgOb7dsADIURTtYHW+2ugbNur3Jio//vtfcG2H//0L6BUl9d/HL4Di4moQ5VioEGwKKNL6cfrh
aLePDUC3AMYKsXJdFrXOkzYucLrTxxfDw3HXkKKAXb15+YbIcV4tXr4QsCmHAWlTMB/2TQd0m7+T
8DVaQtixcrCkg+VQV7j8BfC6ltOuzSIYAG9fPwYkv0UYoXM4ZqHEBYHxCZznYtdciQPot0//xc8W
gZibGwlG+wMhbTjuenu2TWyMYWaNORVN7o90aFP0IljileeD6bina7ItIth4Vd9NSYUJ8yr6HPx3
Iih2dRxQzd+2DZAkgPlavDuOfMNDZXG/tI5wSe15caDn3z79F386iGwBuKXXvtRluK/EDqi3t0/X
VR2MPun1NTCIn1tDw3yownhXo9Mt4b3FkZdfmOuALXFU1nTxs8dEtbNhNlu5cRnqZYT7Gmkr4Ipl
qIjtPq86aaY/PJ/+83xMt4llnFECfdWI2YyPoXnsoKsfz5WaOnvCRmwkJ7D0oGzuoNRu7jyYute7
NpKd+UwCyk4jJ+slYt4SpslajMAfwAapHk0dwvBnwDyv4Iwqi/VbUywVxH8t1txsDOX8nRrGbqdW
DjdLVU4nWozQSq2AVECzaiq2vi8D1Lc8qytI4j2cdG1/wIYNUmPfWJeVPjI/H2RbeusB/7qv7inM
hdOuQJLGm+DgF+ZZFIF8mBKV3JGKwDm2q7PHm28KpmV4VWGpnMz+D0665yQQT/sevVn2sNeEMYo7
BU0r8mw1YRfS9H8iXVzf7x8Wvniz8I2jZ8TazyBytoBpXGy/andIFmQ9HBx2COICorAuP+/7S+jb
MRt0SQg1Qahyr/X4kSkYldZWiw/7nk7ePr2E5QZ7RKryqWEldNawpUkIj//94b8bUptteuDDwqzs
qHIOTdcLsqrZYwx9z9cZIrk/HA7+7ic2s7H/H8B3P1PFD+XQwSCbThaH7ZfKoaLtD5vq33zybdbc
L06zqAalTmM4B8gO8/SxMmtMMmR07ztVAt/27RcRJc5OCqvRaDXxkOjGP2Ii2hlTRZsB7QE4goOA
WuUBruMG6k4DDd7t+thbVtcvKr+Cm2C4JLqHRzxOcO/PxaT9XdkFdMvL/uU9gP0n+jRKWPKSLtpX
2kq3rK5+SbqqWmASj6JwOCHnOoa3NNi3WQH1/O2XnSocRdIxKPOKxezUTos5xEm1ax9Ho81A/iVh
CKbq5m/5QsN3tvlmGL/VChRJdzIV2bU/hCLkbZMsIJVVfQLIuqrI7ZWw3vF9p3h0m0OHtMIrCBe8
8la67kb2/ZB7IX35985+nen/YQXYptD9kquoQPRHCFFZuiSanfY9fTNK4f+xReh7VR5VfXuLrNeP
nVj2wWHpNodO8Eh4ExmrXC9Ew9o11Ge/0/tSUek2jc5bZtwbGlvl8L53h7aM77zI9sd97bJZd3/p
AgbDqvlEiPvQWgjNdjb7ZnyWTQK7LoP5oJ66B6WbXNpm3yK+TaXbOHDqsfZhh/mTvOZ3nXEzPn/x
8VUPWfcVjg8D/c4pcZtKtwLS009DW6FqCZKjGrKV7mqlT/YlpAFI/XYG+AXahxF4JWmsC3vbzKra
VwcJocPb5/+Ck19947N6/g+U/Lfkxb+Pav9hEtjm0jG+BoBTiTIPFo9Ot35lQhQYCcA2oZjG9QF0
kSuF9Xgy4ZHjdM1l3QCfOhCWLV9O3Zj4EGq3gSBfTRRColzEtIp2ncBTdo2X/ut+HfR7CmVt2B+r
aLansBiA+fXUvns1uiX8UJjDV62G/kidKZFlMbxHSeX8h6jxN915C/gZXQdMTrT0xyWCSUn5ymaR
2jk/sc0yGaqRe3DS9sfVANEAF+hP38J/tWt+2qbdQF5vukLT8SiQMX9IXFlmcDTsu7Cj25SJFanP
RTVhMo1a8q039MWUsKfuevNtxkRpsGNvoPQ8Vr714Z4hxbEokDqz6+nblNBfsgpwTwdxqagfj8ey
V3192PcDm97+ywUx25JjtVzkCJF4yAP6fd8PbFYeO6hxnYp2PI5N2R5NDO9Dm7Bd1x7/I1PC/iGk
LTXjEeYIk7kQgjTDol3J/hDtvJ0I2mhi0GXi4dMItrfuWZc2muxLOIVs7+3TWTkCzTBCRENk0GZU
BTLFie23fY2+CQ4bFce+T4sBQtLSpLHnoZpwZv6+1X6bESqQ+Owzjw7HBmleaaOseNARHV53vfs2
IZS5tqUB74ajl+AKjqlVHKsl3NcwWwBdZV3QICtgOIJoSp5qM6tv3F+jfTH5Nht0hRe1G0ZMkXUN
ERrI5sATseJPCJ7fbNi3lC8dqI6ohkLoW+hweipHA5PQwom2J2ZbrIK72n+bTAVrd8ECiQktJDEk
eSQUWT2P+5Kp6DaZqi2LCFIWPF2IuoIQSSL9o1n+2vfqm8lMSXwB5DPaY3tVkcFtJA+9KfbNNdtk
qqRl/mDgsTxOapxOpoxJCsLwum+yoZsIejHYbqzW2eNQrhrSbPVhDWS485NuZjIojdnaQOZ2bOMy
yoyeZYaU1H1p/7jVfzuT1dESDVFctEfPeDaTKzzQtF32kZtQAf326QVj2gaSt5DvdGW2hkZnMdDy
+5a/bQ7YGCw4crYiPklZr+9Xv51fpV//ifV+XeP+IczdZoEV1LlgRLLyMbQB6lGuc3xLgj+dEf7u
6Zu9Lgw3OK5ekuTEPBydT973Rtfvdw2kLe1LwYlaQGkRncD5KnQ6rUjwG8q5/7Tv8ZtxGuiGNqtv
k1PYmho5rHLm5R0PdB3vG6tb3FcLtRcsX21ySvoglQm50f7OxW+b/AUQVzcsBI82DKHwNR+i3peQ
SLeZXxAoVEUZdckJaroqVbD4ZayMXbqv0TfD9JevGBSu8/+fqPh3PXEzRv0QSUX0KijmSH+4yolZ
XT3veuv/Sfn6j0Ka8NEEOWs16q5LZ8YP+56/2eTWbdBJPTbRiTXBDMY569nNtVTvTzzB62D8hylg
m88F6XzLYlfwk2k9yEyLaTIPfeQLcUSdalRchIF17n5Yi/9n/PqXzfXfu4N/+lH+ds6MFlLUk+w0
dgqzq+cs0JUm7VEpjDp9KotZ6bRrDAwyaU07rO2zXGwdXRrd8tKcsLGWCmrlVU3LBcZlr/hKqUPa
Xe0jpVWlVC6rcyk2PG13p3gQt/eQk7qAX2aPRR0ciqsWXpX6NKkgYrND1GJT1HB8ujRMukZ8bW1p
xiBlKqrMha4KuOfDgg19JA5LNzmbqYXK+QUIOQfDaKhg3QHme6nmHjLmZPQ4g1MO7HZ1DlrFwaY3
OLMcTIq6AjiRQUCNmvpDSwxiRxnJGP5Pg/9sx45NB5gagTAd0UIqmyZHqnxdxhnWJeXTvv7a4NA2
GtPZBn7g0jDmovxcV0wl340Y4d5BIefaWJOC9iWXT9ckvXO7mmVOa0Cj+sy5qg/UIULhZHFccWVD
jh4p5j4rYvS0JJu4W0JzINMa+rdBPPHkVIXjalAX1jXLGRj/Oot4O/F76Y9VfPAr6mhWRrxDFBab
+BAbAHBhuhO8q5G/KZtSHIYEW6wowwnJLBq8WVfbKIUEMELdyFTlBYsQNmIu4Wa8wddqyiq1MSK7
NAk8baD/rcmXbjD84JZ1jr6P1brQU2ubUD2sFibl17IjUfRAh4LSu7Uo41Ec9IoaFXZK3BiAiLDy
aNT3qNCI8b3aqmrxcsJfEzGefFCNEY0Zv1nVeeF0dt+62FTwiDcTTNuXCBVIyfsAAs9+yXTNYBIT
sXfFQOpR185DFcuKpC0QdKJxGo8LvmXTXEiIgzRy4aqOy1RxlZy4KmGd5bMzFhvYxeuna2Q59bf+
2Kujs5ijHngjRvl+nomoY3SHhownScN+zhpRMgJKbLnoA844yvhzPNC6uU3mFYdAZeiPUFW7doAj
OE3iMCKIoIaBUppBMU3lc6Biy08ArKj5tiYuwKm2P4CttuKaeZgEarf8pecDMjk5IGu+Hr8R7aFm
xk4Ra1+i0AQx3OZ9KL/hHCTWGDSGNdOhl2HTP6jRF/w90rM6c5JLhDKhpPGb8GYNPaLugtKp9a+q
1s2IihnrNeyhw6Atj3VbLuTSmkB2H0vPxD7B9KYED2FgZEn74A+DCr4xWRTxkhYiMSJ3bprCG99W
rPkkHV/CDMx7H9XowtEgAdo55Pp7MTihRKo6FX8LKe/aj6guX8sMVm2sXSiVaJZ7ZPX1Mf7nxmPf
G2mn9WJIuyzv1eoHAVTqGEnfJUM3PwtF1och8cXJJ10sH2M7Rvzox1VbvutUOa9PDjUSxMNNNLgB
8eFKIuaX3g11/VNBn13eSt7RJW8aqYu8I0lgb8cO3thMMsrI55gTlvwVOFU8oITcu8E10vod1SEm
lS4UBwFAkHeYqzV2N5A8TOsZ8CD6SScVSw6tRqXjc7SUun4IRFEFF9dU43L0ulLO52SxPs8jPiv/
ow/TZ/Gu7BLRZu0yeGAiSj/pUYdiOER+09qH9r7318G/0Ja3+gPMGkXzOIZJVJ78UjXRYZjlhLnT
hbEtT8ifDux9l0z8uwYToM4KGDvdYzn7FlNJ2czuyMNmsOLgs4ZPt0oCcHwqxNiiQsWLJvG+jPuE
XUzbtjwdCs/yb2WZyDYTda8GmcZ1UPiQAzE6X3pt+uEwOOJ7h6GvSZDWenXtZzokeIND6IsAOMMZ
b1F5orepnL2+PtZXJE8KoN2qHjqHwrRj2Fr3hfiL4zCeiRpcTqgg+D3CJfGjwBCOMqlLYjJuXNh8
XDr4GQE4MgbIs5Sqda0ubkCV7PsFfjpbpGU3RDPm+7V1TZPKAcu0S6GWnfrvbpxo+ApHhsWCoECr
Sd5pPOX6IdthtEdIHGF4P9YOdtMUtZ91mOskSNRxmgTVSyqCIV5v3dwLnGDOUD8lZ79YECOikq0s
Lz3EZ1662qryXnioLDmUjI8wxvpTkByiZV3lq/VXKs/TsLokH03jFRCckmK5ozDPPflBL6sXnCKT
RaWV1kNyAjVeDDeJwg7mYcEpRHxiqsJ6NxRF2CHPm5XznRG+VFmz2mDIWGsjD3ULti8qh+q5tQ/e
Db4yKMao2TA8VbMfkXODK2P50IB0V3XptDAYbsAVh8zeJsEloEk/PIZ959VfSTXH+o5r2qOP1aXR
5V9Uxyt6ggGyrT82Iq6mE/6yWR5Do1j/gaupLG56UUl6QREt1/ejJZBiHTEdaX6Ay4gWP1agksE0
70sZnvumEgK5zShiQh+JwVG6KeWwtOdWGoqcYYIcYv/Yt7AeptOw1OQFvxm/TkE5zF80oPGoSU9I
CUFzB/yiyDzMTwWs3e38Igkf6DlOWtS6hHWNZFUz2djLlnYcYHmzjZtRQDJFQYYLhbh8wuuG4ePs
FlGdvZqwsUqrQnnje2PWpr5B6m65Iiqq1/k7Vo2+VmCk+n7wfL2poX5Gyy5a71c/YfCuW7MuxSWG
1DoBaJbDCHbnMCF3j7Bf9PbiD2UynOeBJ+F15Z5LMAEEmrHv0yHBKPfBqxPrKLKucsvyTJNZJylM
YzE/RcxgfksVddI++kMQd19X27dMphry8/CyMOrPDwy9v/wk+xmOGPyRtCkeFY7G3btYoRFvViLt
fKjpGA5nrP9eK9C4xExHt0aREwiehmbFx7RiOk1OeeZDFCyDeYJpfZ5uOokMvEc5VWWVMVk2/ae5
jUj42ZBoiU0KQphft2gpqsVfNZip/hOo9Sz52oC8or50ulME+ysAEWlmJJHR2URDvyB+K33IrtPO
GxcshXrG8oFoD8hY7oUTxMOANDQL0kYj7xuo8gvLfCzq8rKOnXofjejfR+U7zbNqXnH/YqKafQwJ
8iIyusSFzLAXZREkhU005kRDfj2ldPZN99CWXYmS4wD4zlObSN3cU9M6D45tVGB9lU03zKcwqNj0
GNS+BX8X96zJexbXrjxNGqacp46U9FPcw/Jy6FmBo4C48gb+sNRtAUu3lY484v6J1u+0ivr1NpB1
12DCZBgbSItHolqcK0BU7X1hdNLOWcyYeFqQ+eJlM6/M9K5fXYeCaNS9EpcBY1ioDHrgqn1UPc6Y
0tII3R3pgrpafUKJWnCMC1rXB+sXBF+iKnVwz8b2anLl/TX4iZHtW4osiaeQHMzY+cGYqnVePspY
g5qUrgaFf+9bFLfRV9Hz5s7WIyKurBTSywIJKtySYXaf0shxOnwkI7AHZ8Fdi/U+mn2E6RQFvO2Q
LpR5w6XCK/jPY1MPUQbRdndQSznWuZox1D+HvnXTiURKBzCTWCDPAlbR+EA1MjHTngbrKcFi5IbU
hoXsH0akTiV1ZriJ9J3qi+UxXq4C1NWu9LaPY+UfYxhsZiyjCDkOdoVv/NXpyRMXxetweD/qIpje
1XYMMhxLd+TLogs3ZYUr2RnhGkSWClU0DW7dUjvL8lwOLcAaDHXVWGxptq5D0qYNZEj8MFifnAXi
gY/ORPRWAKVkUp7Irs/KgHABZmtL0qZhkt/ETix/MVT/yHuCoWPyVfZrct95xD75DohXbIHocCd4
TFbETgGzT5PXIpN8mKOMo4z8HkfoKNaGT5SCRo5K3vvFxuRD4zxxVERylRozD7eT0smjcCDoHxS6
cRbOo8tIWVRnqNeTu5GL5UYEs/6yiEm+JFTbrPL5sw6t+RDKpE4gmG97pJ2MWqkunf0qcX0qEO0u
pwV6t+XMJyJeeTC3N4Nc4uSA7swzA932fKqtDG8WpC+yD86LoxehHbIWDmSoI+9cmGhyOi3Qc2OU
yS+l/1c1FMvwIQw5X9KpMnOMVM5gcsuhuvIALnqZV2BTYhssLcy6XdcT7GMq2siD4FPg3UwBQ0Ez
yqedf2PLoEgeem/uh9OEOn//deWa8CxZ2DTcjqwNxRdErqY7hgPxyLmt2ordyXnS8K+KetKpC1ob
v9JRt/5jR0faHoFpWGogCXpeXhpvSvRnr4RLWGbhUoXVwe9lOaRjWCEUTYYxqjKrEaO4tKDwiet0
CZex+j7HIe3uprmZ1m+QUjmEQ+UQh+jdGmMrhBweBUPyCIpOQXIb60o+zwH2/semZtSchgjzzgE7
GhFdOkFwJNtFhtBHFNXI8Bb5szQ4BMkcJpcAZVPzzwr1AeZx7Ie49bMlEVN503c99XkKoEiMG6lV
Er08Y2scEeyCkbK53va97jEvlHXkgvvWYEi+KGxW3WcVquTC4NvGBtm4CLJ5qrwvBnda2CbPTQhL
IQ6hywy9A8FSWowTZvfejvNhMsLGHzlq+ofX2GFu/9T3XULkIYw6D+tVUYfe9MLdKmeReoRENB2G
wposKagmD/0az8tPhnJ//ZetUM12jCVUf+8WXc4JgANhY5/geA7VfKwn0F3zpPJI88QxyjAj+tR2
Maanco5wWFjWKN8/S+qX7kxVqXxzYKtFCJBqzrkABr7B/gMRn+yyZWqvsQg0LoN7loO1wuWJEsq+
6t5rplMjvSG59H0yhvhia+LsoSN6nr6oJEQtEi9V0n8ZnOqmUyt842WJGoPbqhMFzzrcPQ53i5RM
4JNEFYoBe5yyZ7adOgSlHQdO5nVcQckFCKAr7hpButwVc/yuo2QZEB2E69o+Llrr1MKnmaIoTIwU
frFYNqfFxeGSCShIx8tKe2zQymSM0n5wjdemwzi4/jkKXFT+nKA2iY+r8v3ywN11XU1FD8fEuUCY
fVcBzYVeRwNDbwoJp+ltK5bmYxKjEQ50GFigU7/yuuC116v0EKUuvpfPK/p1jjggiG4GLAHyq3O0
yrEFCJLPDRDnUZmFifCrd+0UliWQ0IHh1Ziik4U0izGrLtjNeSicW6MyqB5i6fw1sxjwH1QQmqMu
Kl5jqBXjTePjBOMe5xU0fIrrmasbN9nkG05iPiH0GAiHUoUjBbyBI4a8q4kovoBnIauDMJgUK2nV
/TD4iMxWAEbcRUdxmbXrAuEIMuj9cxVZqu+7gfb63hZjfzu2bSO/wtk8/PA61feHefTwGdkcvaqR
XS93VIy1fWbulSOWGA5i7RCrI69pmFPtInNCsXLCU9k6gdgAaQsTZHfxjPNazIQ9zncG+eCQ0A9F
Ynw96UHht31VCMZSEiID/YKj9KS/o13ceU80QhIfkoKiWkyXiQsxaHyUcfF7VHQXsjrOPo1ldJQx
r55FBzf8MUChQPdznoiaMq/EydUX4A5gkLVh3LNjXZKFoGtW5MVW2I/kSy37lEhMoG06jRYWO0HG
8nscmp68UjeWU7aYPsBuJ2J6mlM5xdr7XFVB8S2+hibneEaV+YeFtz8GpQeGcDfpAgSzhqnxnMAJ
EmcJt+ZHE2LIpjGUHRm0ID476oTFfx/+KbqiEZb4CL5lwbCVgVT9NJPIRZ9a4SWoP66SAieDXmJA
RupboDgOCEqMuwl503zXeqYB5jlWyvoVpLZEZsSWjp7lwJa/sHUW663VpPhhSr0mIZTcy0TuTOlY
98ErfB7+CKDMCP/C1rLEyYgU4V3SWIW5wy+XjIigc082KaIWpUa4W2KCC/+p8jjHaTZCD/82dACK
npLJcnKYh9Wnx4lP/ZRqM84vYCIH7GNrk+nZ81j/MS6i4AOu24c1bwrUW5y9BhvjWZt5OnIWA+i7
yqn9iDZXt3WgwvLIJZzYYJyw5tKUSdJlYVsbl7ZeoT6hUndOuxB1Mm3LHL+1c+s9RdzN9zxZy/jU
FECMHHW4zHkHrUQetNq/MHiMMefVtH8tExEuj61oUD08TeD9pGE3FsOLG4F4/QIGBzZn/eJY+QlH
wzT6P/a+tDdyW033rwT5POpLcRFJYHKAkVSbq2xX227b3V8Eu+3WLkoitf76eaqTM2fSOMmZCe6X
C1xkQ8d2uRaJfPmsYTAueB/oVBRYFjTzmcHEIeE/VsR9yuYAQyIDlJCmmDIK4SEeVq5e3EMGLzZC
pcBNJjSeo6dE9mu+oy1pHxG/XpR3VBmYwGc0MNzleCIhy0e/HSIs24ubwh7YGLtty0zyiLV4Op+M
SSazLbqkyCLKZTu9XrSuB9NUdX2cpVwr/I7Ss3elz6fqlqVywsC25GyrVOuZPSSUcvoIKLrZYJlo
mm0vRGFjmo2Vj1xyNLduzESwiCAH5gqfBeCIpBWmxXF7gmh5XBZ3Z72sGKNGDH515Xljve4QP7a+
eQK1SWGFashjupoZt0+i8HaUE9mUmg9R17npihkfA2eWN8elzcQd1MsdHALIdwTOgaAGxmXy7K2Q
k28VHDLLJ+BM84iNyBL/zak+pRIdOOUKeMBWQ9scGjAU+Zds7Wwd4ZOC4V2VGSZzrJjVWEdZl7TI
L0d4kb5GRJqSkZ6CdjjMhncoqEdvNrpLkzFQeegJxB5uJ80uN6FXjGmKdsUOJyYsPmVcrFZPBwdT
hg6pmV2F2xh81/uAvTM5tL0jaTwiUZvkYVNT7j8ajgktHifdZ5HkYwCvjwuW8jEPkPQSE+TN588V
AA0e1s2QZZ/IvGL1SD0v8K8C6dciqjWtaGyAho2RaUZAWyF8eXMaF/BxkVvedr36iEKQfAwXpEC3
m2FJhAkXunJMMLr13VevR6tCKGD10B/RZTPKXba0k/wa4EVNTxYDanAS1q9kxCtZ0nOVTgShyS0O
BVlu6/pugYG/3NLCknoJBcz2IwDMrFlTHNQdIAdc1DOGQvSaJx3KqLVNrjND8vXgczI317oFThsG
LZuQl95m/TsRLM9u6Jo0kIIkpGz2gxo9eoaJVwa4p3q2TuB/mqXdor9x6rcQF7V1BFZFDK/NVFsP
BYmrUwevApzyTKr68gkFOPjEfq/bAr4/HMDqmwH4YRmV6eDsECJzyKdHElCBw6VwXrPPobMYXye6
aBsnQZC43YT1eop70bblpmJMdTFFI40rw66vl2yL02CljwlH/BrEl9WlHgxtaSYuslzPV4kjUkXw
iaRaxEhiILih8qQGnw0q1KRXwTizFTOLa/keIIEBW99htguBw/pl6JVuLeIOl0G15fPgd+8yF2Xl
4ezgc8fQRI8Qk29tWVfwc5VgyBw20xpzIo+8qte7gLZ0mQ+lr5h6RGZ07U4TjvZzixee84JjBpmZ
uRUyr+YnD69Ge2HmO2aG7SXNGgfSUa0jvxkuJ+hj4plyxvAFvSwCppYkTW+X2rc4rPQDC3CD8xKY
lYzAtQicVomtdfM1X3C6hpxqkTV5793odRgGpMCByTjYbUe01Zj+ymozqFuBxSPFqKiK9a3MwEZ8
KYrJlFue8sab8O62rEFZctDnHznGfdzLVEsuti1Go+49a7mYVOh8jbTmSfJBPfjA53LUvwD/d6+6
50P52HqD8c4mBeHzcbwcVJFYsKiKRnLskGsM21zbV4esBu+Fi4S3bNtLHHyCDXoUh+4IU2oqpmgF
h2Rw0s17mcuYiMCp49SCSTphulbBCWMRt/dNVZT9lUzZZA7egDLzL4yQhETBZWbbDqb2hrCSdPJO
hiDg6aM32CHHGocY+khjMm42y1Cr/ia3Tuq4FkSOD2sFFVmkiAXJk7OqQcRMn3ruqwpsmzywyWLx
b9BvUIzrlbeiXxsjK3INq8PUpmzBPIUO6siXsxv2i2k02/dA2addVQYreQSqKMRVXoIJjFpSQwCw
gXWT9CrGtbkC27ogat626ykdIhbUhRfinrsOWrtwcI0C8Rhb4kNa3W1zzwffEzSgeJawQsWaCpdu
bkXcZ1LwvZsHve5bPnukQaQbnQYNTC9FV5oZtF+chN9b+ygsUtXfZcqH+oTBNpfbSmSDvp8mUDNx
laoihTsR4tRz3jRVcEzSqinvJ4U35rhQVdorMqBS53rEc6WoHF9WcS4GWadXc9Hr8hMOenkyRmTA
tNzFhVE1YGuOjLacRANu5taLkP0RLG0MHlAqvS0hDb5EGMvPSDAk1o+0RgBmvalBBdnhgAGsxxvr
ZNH2Z+zTDYBniHFApWF208s9w9sOc5UWWbl+AnuSzNsRd/JWr6s84RAdeEfqJRqDXUCQXkcvNJ6i
O1IEQbsrC9mJ01oZmFx9uhj3ecoHjdCKckB0yNal7bxkoT8FQoLjpBBdkc6qMQoAbNgv9YjI+rNB
7IKl20vUqw9MYxZoX1f9qsci0vU0lfFS95dGOWeDG9EnvDlwmMunfde0A4vTcWmbE7XIqQFESsC3
mqWXwzYHiO+HnvV9bwuO0uVxpVKNY2fb2RYTEqtz9jJL1LwfkzUt5jtEMnAH7D1L+vWNNYKlr21p
SHUgDFbHAwHq213DoN27hwqR1JhtGsHnk889u3xbOlG0p2VJPQuAb6YqWjXGkRD48gBuJbcWYr/O
8euB1HaK3ILi0EOPp1DEw0ppGUEbH4Az5/yiaBzVVkNMelONaAb+RKYytde9W/3mSqL2br182jKB
YUi7BdXtVvLiFTCfx+JCKK+1CGvFeSayDa72eoPJusQGiYX0csyf+na61V4/smjxPL/HzaK6HnaJ
VlzeQd0CrsIk0Qt9a+VYeXB25zJ/Gy7745sc4FRHvIFID53Rix8SrHfVPet76nDvpaLuXNgqC6M/
ICYURcmM5CRmVHiQ17C0S25oJt20xTKKLMSxavLx3RVzO5/MKmvx1M9DwHF46YrhalnkOj8pWbfj
7SXDke1tPSRhjbCbLsQ0ml7A8nYeseeCwDyrZdHyymZwGtyAKKmRwYDZeAW01ZVArQSKK7lwLzCu
diqEsYhOmzloS6B2fZfdQSbhYyIaUcp8V0DZiH0RHRvIbtSjSvSjbImGuLch4LPGXZP0nXFhDr8f
D42CjoBF4L774R1AUgrwFoANcS9AK9bcCwOH8bUIBVZZBwyxMgvhIULqce7czrCHohyomXmQfYbD
ehn6cJhQYtPt6tGJvIimDvnhmENJMAs/7lkGKUf8b7Z3iOf1hNqBqWIuIplD/aSnXJdECEpmnxh+
2juOU5a2B51dsN8Ux++5vayZPLk11PYboAXrAF2rl3iHf0uGmcyL5dUeQd3zHJOgMEO4Lpm4BWHV
DHGQwPz91xRMPyYLBQtvatPYakP0c8EfgvGv6Zl/DBQSFRtB1+BxWX6nAFrk4i9aaH6MEzIIPNRJ
LuUW2yQBiKRHcm2xWtv9n6uX/iCwCpTB75U+gMKogyINzISH+6/LTO6O9eQZxAjavgXgRMcCtQBS
d/Q8W0C3OGAVHomMN+Nz+vMncVEV/TO10Q/CshQUzZx7vdwatJlWcQ4fwTXEg12EeQ30I7g4dfjz
3/RHYqofdGZ9Z3GpQVO8RSBAJ+/dYpIhblPMufGEnQnppEgkqTCVzkvzL97hP5C2/ZhOVEAfht2E
im2g0MnhEDuz6YA1/4sX9EeP/oP6rEWjn5WZFlCO1K9l7z9Oqk3+mnWE/CAPxZje1W2aiO2C2o8w
65dDPlTsLz74Dwoz5/uuMUMgtsCgNyBS8zDxgTz++cf8R+/KD/LQZB5zJ3QebFPiWezpYxL6GXb/
v/bol9/63/xdtGwZ1EF4X+haI5vXabRMrub+zx/8D67QH6OJgt6vp3YucLlkUtM3C0xpikiwUPQK
KVq3YTtAjb2Hr0S0f6mej/2YCJOpdJKIERJb1KGKJ9719qbwAa/++Qv6vrj+k7v7xzwYWSwMsFDK
t7XSGRBo3SwTyBX89b74LnjkmLzxfxruN8Eub4uHYs0ffFxpYp/YfMhwVkmzDdoZ3+aRobo5dBIj
2a/P7v/8Tuxo//bv+PNX0+Kwn2buhz/+7cHU+PvfLz/zX9/z+5/42+7d3LzU7/bHb/rdz+Bxf/u9
8Yt7+d0fNpjL3fJxeO+Xu3c7VO7746fv5vKd/9Mv/vT+/VEelvb9l59f3uq8iXHo6fOv7uffvnR4
++VnqAtBk1ycav/VKnv5Jb99x+VV/PJz/F5l+T//ofcX6375WcoPDLlVvggUZvvLf3/+aXr//pXg
AwQYCMmRvqboEFNYtBs0n2a//EzVB8AQDBIZXwO/AF7w80/WDL99CYlD+CkSMN/HI9Kf//4OnH+9
Vn79UPCO/Pbnn5qhPpu8cfaXn78HaP3jksKLU1RSzbkfwGUJIuSH5TxvBMRpGrRI3gPJhmilA6E7
ptNzNrrxFkLBh8HrvbuGOYzEILzbIwQuUDRAn1piJC2qz3XZjy+YqvJDUmoUgleBAKeLgndACm6b
QzD2cQ7IfIeHzzD8Te05Bcj7jjPI6zRY6B1XjRK6AshXYLg5t3pKHjoKfhRnQfvEDK9fjEIwtgdQ
ObRJWZ4XI+5KU41HBERCasWC6ZEVAdmQYk3CFCRNrCG4uDdGPwNe45E/QZHZlN28CTxv2pEGOsKZ
0jy2tsXQtnT3pGbZRahr4Jpw+q6dvTIeBtfd8xoR2jbFLJ5OqCBXvRN7qFi6HfiO6QmbKyQ3NKm+
AT1vTiNLs1cV1B3gCeteh0bZh2KgNVL7E6gjeMB0zEcm87ioZ88HP5X4X8oCEDg6zgccr5Q+TT4U
MxEiww1OAeA7vqABJEcEjBY8DyGdJZ+NL3VIknaCgAyORBP2o7gWDsUb4SJL9ai8yh6zzq8xZ6i1
HWGpNgjl+X6R/9++2a/zrxCJmm/ux7v9dwvE/0tLAqgERfllI//jNSHKshfncpu+9NnvloZ//PCv
a4PiH5DAxYlQCkkpuKPp39cGRT5QIbQOJOFYhsTlK39fG/gHn1CfYAXQRMjgImf/bW3w5QfJldYq
QC5rICUyOv4XawMULr+bJiW6lYTkFLe/ovqy4vwwGpGkGEv8M28lkES6nX30fUy2oDiA6gZ2d9au
ttj0pQ8l74iyhCKUiM1fYz7T2Qtd4Hg06YCemgngoxkMXEkD9AInIWV1X+aT9yD8JDsgpG08B3WT
HXt0GKYgCpDPiYAivZEMHRe2sdnbiGs5g/SgUlnsMpbtkzmoHtcUbESUwLRyTP0GwvKMBgr3e7J8
DGaDFIF+vQehu0SrtwdtAdCIXuzsA4xXR4iOmghSAkK3ixmGMkrm1LlIVgvWCOiHu5vcLGCRh2ol
94nIq2c2z+m9oaaJA0KL104t6fVSdSjQWzxIEVKjxZc54xK8+9C/TBQaeu2XB1FQzDfgQIFRFn4J
UWyVNDgJ2OoW1bvFpvHw7jR0PqYENiUfvugoZz3d+qRKI8jm2ng1gf8Knd5ch5j4EuzfKi9PXRaU
rxNYqDks00q/pcZLP9GgYBnqgTXOt5BfUj9O6djETpBpo1l5YfJznNKLlF4V+ACioYTWDw3l43E2
/eOSNwAnJJ3zMl4tXAtV0RATrXPXbDK+lizGaVZeD8FUvOQNr98R1kv0rgeQAzSiGS1yvZAkdVo1
4KBWWA/gRQ0zYKRHh3D/oEGtSwr5XBVSCAuunZr01ayb9nNmE+siSGQWEgZzjpQGJiE1gZI6e66r
mqchhq5sD12CB/iVNdDi9BMEVNBzdg1kIT1KYkzS6yP4OyhzKpyb3wA1QlHGwBvsh9zT4GCQagi2
MVg2tMX6GkqmynZT4bL+5Dij5zIv+CkJBvuQNZl5SQnLCmAATaePLsWleJFotV+7Wiyfrc6MHwvg
K5AXo0L5iz9AYh+uPqSqO/jY+ntfMn3GvgtR6tpO+lSUxp7rrOuwOzQQM0V6Vv1HhUPpo+Ve3YdJ
Tbx3aIcRy6d8v3+GyrZ+DboA2egzYLTQUD09IFSS1WHqajXD04GtYz9RmXnh6GXN0YGUAEFBpx1K
zDrshNP0qIEu3QnIDw/Mby73bdntwc97Y8RbuHlCghCIuEsFsiMTQsvXFDfX5UeTCmLBvqq6Pclt
0W/AK6nDKPLgXHnCq0PKq5k8pd1CngNccgt2L7PudFLjA1SDwbOGSlCE0EKQNLTQv/jA21W6Xy06
MaDdgBiZrp+ndN7AQRehrJ19NaNWeUTKon8VSJECD+zz+fM8Fg1qWLMZjJWdHuZpaE+ZYskeCj96
1dTV1IQidfgyWIdNt8z2aQWslsWpdXxD1QTZ8uzMlSQrtP8MLHoEzqfZwt0S2HBWyX5Zsh2e97ox
QGjRyDTTsGWogBu6vglXKpNHqGzqqHEMqDlcDkHk+QOGAcSmtx0wm7qLs7WBAoevOfGjepprs6FJ
yWvIxLr8vYBS8BNEGNmRlH6ZbjrHaBV6nE7A5rXvbzvKeugFu274XLMi63GLOIwHZQ4JK6SDoju3
S14vW2gGDbTCazvHvgcxoJM4oYXDEAw3XVcuKMNr4MpwtbXPlsgE5tvmDYUyxRA3PdbpsQKknWkU
f27U4Ak4EXT3iThaXAMUBpSls3l84knan1iSZZ/9URYVQPh63QzQkVhcsAnkvjWIlxwM6yq/QvpY
7dPafSVdzttINaO5wlYiUNNSVN0b90AJhx6YjxVv3jRdA7VPHcwa6SJi6xcIzfTsAK0IB/uhQrzO
QO4HXWUKY2Lqs7iEev8dQnTjommWIbR/2GX4WO/7uu+ukiBvbmu8UyTMW7HmcT0h1GNHLRpC96C6
6ZbnANX39Qr+IipSdsG5MZx2ALiRwI5XT7iFnLyHlGNa1BVxBt0vwKCGUK0zFiddNfeNh9vNrnk+
x9XUdZ9zaQEBtlqpj67t6SO8WAluOkhwTyQz9JNG5cCzNIW6UkWVgtuUzgtCBa7ktnWquUUXj/yE
UoISbzcMtV0k7Vix7dL6ZR3bfLxepAvWiM88fdRIu6zj2Uj/G4GiVB3xDDMWB6OoaJipRX12aOMy
2KCovcZ9K+p9wqnAwjCJ4AFrU38aaw0lTGLolilfxnOCyNto9vp1DSsv97IIth5/62F4P4GAk09L
cSFlzVzfloUmUUUBxWr4Lc5UcURSrL5/LrAiRT6cUo9DSkB5aNbG/jJ8bolkD64d+blENFM8lAXb
QzZBHjpivHdamDlBSQoFVsQMOxSkkF6U5Tx5qEkqz9LkDwYa0HNiFqDjSyMvcH5Rnr2CQlbKW4NW
HZTiQYwPciND0EfTLKHD25ZFiyx4HSaVmi9XQsXal1w1yRbgWnoBdQBJAVuY9tBNyYNLMTqM1bR+
rSCKij2wo30EZj+7hTXOngBYy007BfmX3PWfAd2su3nQ8y5BSgSE5XX+kqDiE0z5VN4pOTU7D+3Z
kHxnzbbzJhVECoXAsDx0YLiGjDURtZb21/AW1ShNHdcqVD6d1YZUpV9B3En4oUJHIUZ9pvhhyHL3
0K2T2Tce2pV1SWBFtwvc4jItIG4y0C8TgG87jgUoMhCYPwhsLR9Rx8wuPQLw14QXunCDvhv7Au/6
dK3gHS42WBGyw2iS7Aa6CXpPoF0++4MuxtClQp5IOgb3TGRLF1W89HeTZXRXqFndLCs44GNjE4gN
NMmq66CQ1Uu76OTzsJTlHaSU+lvfVdCt4BooTYR8EcGggighKfGX3msjkQ5NBacEh8BfMHzEIeCZ
BDShy9HJwc3yRFfgvW25tOcSOnQXcisRgsisz16CEUNz7Io0ewy4zXqIJpTxbmbRZ0eeFmhUEuDj
diyTOO0gymOZDpARWbN3SxE8jR7uyKbOxzuZomXJgSi4nWhGu8gJ65IQqjOyDxqZ7oK6cp/TpTQf
e/BAOqbpkF+BaO6O0B/iXl3TujjJhS2nPuigbfaYN3zEADt1Idw52TNIbijPq2mEQI2XGXsgxdw9
MVq0Z20L0HVBv94oSIXHENsWn2PR9fhE+z5f63Cp5ZvhEB+EDtKxG29MmivdNmTXr3oeo35y3kZa
GXxdV+Ugnen58uIgol4iWzfehi/t+AoFagHmiVkw7WWm98WwTh/H0kGH/v1VdlyCguXd+FmP8oEV
joYgWMQTbk5UvXV5054VJNfw+0C0XFZ30F3n8Vyl9qTrjOOeTXD8RH+At2tqqA4jb2kdOByKDx5n
W/3U+j12EBxKUxRWcVrnoaSKPRZgzk4aoeB32pjgbqyD9hqHl+pk06V69lQiwOnWVn0tlzXbraUn
eij0JZQyKhhx2kdf0ReVL2S5MjMbl32pfTQ9ZrBHwU2Qpsvewb/0NalQfJo0JMB25U0YLtNWtiak
vdI3TZeuex8717vn2+Adkeg9wmSKci3CYSWqjwNYSmFvHRlSAanR+adRg9H0TFU8r5633hFdJwy0
qtHY27Lx0S91dgd3b3XTjMN6XnPm3tn3zbeHmj7EG28wQ6TJ3ZIt9nU2yl5DY9Q+QJR/9Ls0DeAu
GIMXsATAIyauMra5xIDqiAZoUhtXCJFhyZhiMqGBEtqYBXk6toI6ISQNL8v9MBTrAZ4QqJAs/MPw
qQxUPMMe1s3h0DloodF+hapTQtqv3OvcfjJ9fm2G3qBAeOqeeqjW3mwn9B7ctg/nD1lWSBbm9KBH
aJy3/jSbPKobJB15mq9o+Gg6sqdoXzuWPSqeQrFk7guSNzhcW2CnT3kGewdyjZVT0F/a4oQjQb4P
+gmKcMTzl3C+FXrjiwxz6DKOeE0DzKgxa+u1iy59hugPkXCHNIGxV3VdJEE4zpjlYpDA5oxaiXUP
JPMy3bCh2AlIxPdKNGA3J0gC7lJcmXvYnptXZdb6y+WU7fAbWF3FA2fePZowhnNd+f0T4tEXSFcY
aNUOGz6KzpI1an0r8JWRYMSA3PloydKejE7h7MhZZpLIVJCq1qbqsz11eXpLTY2XUJat5LgfiuLj
oOtvvWMBw+1S76a+Ks4eTGtpuMArF/WrEMc0g3kgxLmSPBQi0XczLdYNR0gKj6oFRWLHooPvJTSQ
XV9Z+CtpHKycwyFnA2gDXUeiUTS5h6NpVlw25bwW+95ZfDQY40mtl+MIcvjKYUd6yctgDqImT2xy
wbikDRtfVhzRsvC9X+Qa83adXAGWHxL8MewL9DGEpAw2sI1nR0sBqPUlJHZw34PimWdIBjFG1u1G
Dlmv4L0q8wOClO37nJbmGp1WWEk89Ax87HxJPtXicqaAFr+KC4VdPCLK7285QnpPdeCSPSVjsx9h
2oGabsm6bYr0n0cIJCjZ1UUAVUs3Jl9cr1BssQZrdd1o3tEDSOo1fZLDDAobjKr9LcD5/4NZ/xrf
Jn5wSf/8YyzrP/qhefmavVQ/nfuXt3f7e0CLAJv6/gC/4llafuC+oACKoAvw4boGoPQr1q39D0CX
uQYQ7qPJ8hJ8+3c4S3/g33FuQSnMfJL+A86iwYdAELC9eDgZsED+r6DuX4nY/4Z1Q9MMrF0EHGd5
CmTL/4Ek7VL0RubQnx4u92exH1Zb3kpQ9y5GbLlbwnkeqmJfVxCnhBLxCNAJqGboYiMzevAULzaB
T/vDmjUiuPZJOWO9nnP8G0eO/POatxonZxzW+w3O8+kVUBtYTkVPoQyfCEtvjBA1vJDYsD8HFcma
2Ph5A6NV42NXKFPsgxuU58lHO4Hq8R2UCDg5jBuYeWmPp8JfIaovy02CyhMoBuD+qmKI8dUK+Zie
kD4+FPkeKM64RkgkX+i+gyppB+vkyEJvbEZ1ZhT3V8hbKEWiRfjpdUMY/4jGO1ily27EkoaZsYXh
3OssJjBVk29ZjsyATZcq7WLOPX6HUguOjPykTp87XtFhh96G5SsLPHduAWzFdoa8MFJFOw0h6/n4
kkHkdRAXtXtYt0H+mXuB3UMLpBAWZwj5OE8BgsdrGhwuhGbIoHLAialAZ17IgOTBD0OXZ0D4KLUD
5pi4kBJQ61TJoYjY2pcB1IsFQL3WSnZNa3+6nubVO2IHkLtu5fl6w3IEXdwjGgIGSAxPXbrlumX6
aQS0c0B6hPUhsSXdEK3NxSCCEFhs/2EFTV9+6KwV5FZd3pdyg8I3q7cFKr/Vg80WUiHnoYfzJmjb
Z5w7y41dxsublR1A5TQREKFpg4fhR7SPdHtVwtl6688oNMZEn43+bSoVJkIPspqomBA46ydNF/IB
ZInLyTdUdC+bBgogYK40gV1qwODZAv3rO59uYaRYonFJ1hstL+EbLAf+v3IwLqW/NCEQHRi7YSHk
MYNr5X7UMyR7HpQwICr1lVcN9QbmrXtbqPSGVeMTbVkRwdB36nF9REqLN7+uD83YH6Y5xUGnQk2N
sJpGcwNTBFtdc52iCwyKU8nvatZ6B0jTy6hgmAuqDpLnmtd+qE17NQTdKUs9HsEsVYZroq4Bedtr
yPrg2RwBB1do2sanyrM3FCdVqAJs6iewz83NyEqxH0YI/yD/WuBOyNA1O9r0tlSt3OAQb+5kzw2a
ShHuwUuxblYtCSihjCSf0mq+L13bAacp08MyIEC1k7K/QrwKC3NtgHPODNJXU7wav2D3sJCW2JDS
EeYJmlwC3viGN0gd9Ln2wzHRUe674bqrghV2kQzpp8UihgdQYuex7XfjTNYJfhrETvYwsd0mWWUj
sQIkikTO4ouBwAi6G7s+SpfxDqUfcP1I7x6z4fsw5GdEDTl0LvsQBTvA0PCMyFvncJchiGOIM3wl
7OayeQby32IxYg8cIjuGmoBQ1MlbhVxuf2j02VtX6GKLHFe6aY8tIkEuEj6oZ7UHpqicv8kG3r06
I1EHn+MNQ3IjjO/l6kE8kIZrBckb9AoYpxlkwQwdrdt1MfZUZJ4MGwtQrgaeGk1S5hhoxPrs4Xkj
uCtZN1nFUSnPLofOrKQEga3wvAlzj32/uKpEDUE8qWBMnXq5UQA4NiWbm4+9zaGal0jbaIN6vUFg
LxI0lhq8GtyHLCxHb4SACZQDiThvILOrOm8E/UWXx7xw0KCzZLrRGjhuADHlRmc4DyBF/1vbMRaT
AYVNc4D5PfMnvXEwwkaw1NdnoZcAKKqlV3PFylcQE82WCDjRYBQVzZlfNPaQfas9rgSshMCY7EYs
nXqaNE3f2nKc/lUxSPC9O/13uxNkZKjpgOqWUC41+0ETYQzEbEVGsoOidnRx4k8XQyw4iFvb1OzT
ZABntvD3lzFkfDg2Nv3YPDSdt2wQAeu/DWmni9OCjmp/U8LXtvdokJCwv3z6kVEoBQwnMsk2ymSi
ug0itGsCe5SfHQREwdPtDMcKQOZyneDwYeXdIkkDxyXgzlEcW2RzXK/rUJ4zlWGJ6toEzcYFg37N
UWdfPUYBc4kseIIoFuefBugquCBI+kPS4dFhrwqma52U9jBNckEac9Ec19Sbt1UGMGuF+GsPl4u+
0miVChVFyyhUxjAp6MQ96sJrYavDxN+jNxHPcYTF1mEOgb9MFFs5Y99yCgii4WsbBZNel70KQB3U
4Yi4g2onfRrA5grryB42F1GfJM/VRvcB1JLD6L0rKZcrADUXMMYArOw58e7KEnl3s3HitoYz5mxZ
lt5307JZWV9ucyCOod+sQxGOhW9uaw0XBUBVaM5dIJ4ar2UxGCsADVXXbjPXAPMmi9u0UPttWaru
M6GQHCS+wOt3HLV7Mc7fDRmCQxD1wm/a4nUc+zvt+epk/Ow/qTuv5saRdE3/IkwgkUiYyyVBL1GG
Kpm6QchUwZuEB379eaieOds9e9zs1W5EX3REd5UkikR++ZrnE2tlLE3goZg+xiYrDylobHPmDZQr
U/NcIQi4L0EVvQutrE2Rk8Ps3eFI/+CRJHRyjsMiRr+Rzj2Qgb1rh+rAsZKtzQ4PreGuHK5aKrWH
xe25Q891O2xILRk0vpvyNUVSD0yr/phGxMOmgW+hFr/cC96bd9rVgp3r6tOlhfKIKtj8ptHWn1sU
lmgLBqI16CIq1ll4vaClWQ6RX37ls12/5rZD/I27rm/vfHoj5xqz2uKhrNT0gqklsPELs36fLSd7
60LwiRcVGhZuT+1yJ6bBrd8EjvvZqzt5TuKSPAH5z1VGX1PCMJbGxxBnLXdZZxjXpejUzjfoG7mx
O6wtrhsXKQm6040lKm75xcUCsRlv3Chbdion6pTrXt26U9zc9oTIKbQnZfRTFV70aNqdfZunPG+0
Hjnn+zEKHHtKNo5jeE8aStCKyr3zzlSbuRwnUyT2I5j6YzKSwua3KWITccPIHsdSjyOqYS2Tjdlk
5MSzvIC5DP1zBCHNu0dvs4nwZ8QTq+bCDZ1hTUc/Ohdd5PNyWunV9l+WjSgN/ThXafHC0WL/woLp
94xeXM9mMhREDjXNviy1AEp4fblHw1t4+l1Nxc3IAqhnR6XZbTZn8kziYniMUt9/7aEFPCVEILa6
CaPHxcgYeaTZlJdvSIRgTfja0wlH02KzI8Px0DhibSvqNV7r3sRZPpTrxtcAxMOq3ViN9Yb1krBD
T5BeMOcsfctJ4b/O4fh7qHsykUIMw16Y5daiTc0TS8HfzIAh/ER6aOJVOPWaEEnpFe+tGQ8Xynb2
azi5mDqooSjxUUuZBuMThhBgeflzyTQhZpkab9BZ0kc6lf47ZfzpCWupvEkdKdmOWVpkW5jC1d5O
zSHf2Oxsj/7gVyRycT4JNqd7ih4dTIhpsaaN6rOecxXWyohU380/EZKM82iykmrFQnU2gVtlmJ1o
ZWs4EVcxZ7GGLzYeLfhbXeu9/AG+AIpoyFOVWbiiiWVGrxYB4pBS1ARIuTaaBmoQh8Wb1zTFhS5K
dkDslNQjdbT+Mx0DQY6U+IhwdeSh1/aBOQ9THlShvlapptH62bn1nO0p1MYfc1pZ4boI8+G2pie/
0laIufgHSMNjxjahuUUnOAFJvaVM5X4RAxM3NGJ6SDJWk+1caS3PXRMDsxOdaPcqmowfZavi+456
xkc1ie5ybRauputbkstTxtrlhtr8uC4qNFqwA7xH1k1UOjfLUItDIgkzrLKpgJTSdRF2+jevg/gh
ZXiK0XdzOvGwd80YDXJacuN319tluqKM4ucr+nrqvJBU5LpAiPhWL2X/tsRSfuAXzu2Wt7z+NXdR
dviD84HuFr2WNN9pX8RudOi5b/y2aEQGf1A/ii4pRaATd9qExpBdJZJMP7PZfBnXRjlRnDZMj2pW
6GGoZx6Zps4gqxBk8dKx7CL171Ji54+8PuV57ARTp9NiJfwzRGRKdP1WwDLTq8IjLrAOjURtBJyJ
Q2MTQJAgw0ZKAUqkuPkV78e0nqo7ZOLkrk+saK8NKulEwAnXNxSk2nXuXsvDMkWRuRorboXr1/nP
5ELhbKnK/SEMMX9wj5FXRzSxkX3L2QEKFybNuZmnWayTzp/u52Z8tUzzMhidfioGrZMN+4Sru576
TnU/ZBMGymKpd2cxXP7TnHfnJLKmg1ZjBvTXal97LdvfU2R6RYAc610qcyoui51Gz/OYcxJlA8i5
oiniYb3gRZ+iUpTZlkHYuCVDQc63r43y8AcbBRXuR0On8UjFoWuObFYw0x30QegtUeON59KPmzt8
efS1WC+P0F1oIbp2e3CdwXtz2Z99aRi3cEwnIzxwVXKiLSW1/MAOs6LZdnAmg6Xn3bm26MC4LE5D
kgvgELHiwhvmnalH+T7MZXPADqjOpsim1ei7c4E7btPQ5LbEBBa3TRutfG1MiH9jAW5KjZ+ujLqv
qM6NedWnVIGCpB+uEyvPiXeus3TW/zfAZSiJt60mNbqMRen8HJGsEyteYgxen7Yhd+k6HtugGND8
VpoPNmSCYZGB4Xr6kC5992SrPBWBHU5Q+8xcltEuMsZ5JYStbz3DnlhT7sBc9Prpta5kyHY3iCu8
h4n2EolNzFkGPM/lidAZaKI6a5gCQIJUyW7S9sx84Va4hj5TEX1aqyKoX1NjNHN2adS6iz7/E15M
0XjNqcUPNleSXM58/AMd47nUVTc0rueftc/YBuCg+DFpX/9S2egdTAr1L0pl8bOPzA7LxDLH3Wga
4lARK9zRh+gPcwlWZjHK/ncmxpkbsUSPvaqV+bTWNJWCWYTttqNhtuNI0oQCUa8HYI4BZCWu+fg9
IF4iV33aboTr6/i1esKQzzelxSUy8p2jmwz2FjyE3JStv1yGaTbPOepMYBnAMP2wnUBcT2n12Dp+
+PkNp0lUoy85hQzObLxkanmdwX2xo9ewIEpt2ynOX2zfGM55Zk9PVe2WB66Obco0W5l3iTt6AYmY
8LbNTXUc+MA/zR2jf2Pk8z5yp2QNgrP8XXlueaesRj3xtmcSTu2jSFp5mETYvUbdYJ8KRywndxHT
PlayP/RRXNLAkeXOyijhuOrCTN48jO6kT2kU2TeI5tWejbfOG5ZH9BHKNFpzB8JCTewmCBeR3dR9
mdy3sIqQqaAkUduNVuTyCW+HVvTbozQeTka+txVLBppc7pjtxvU3T2eWqrnp6g77icXOQB+AgMR+
s4krnUEg9xlPF+/F54F1W8b1eFBt8ilcMgyoFdlGNiRbsHqYB6z++M3eceA0nEIvpQ9Qws36BvCk
cixvF1tfe/NcETgdWuBsdrfvqKIHRuelW36edusmtgwqf+dX/y1l+p9KIK5nKpAKZPpI4AF/JlX7
12S7weO3HHmQHKyBnhK5B6Y0T1bRuR5Le1xDB+OT61K7JoUua1IovXsYCxlO/02yXnxT3P96nyQb
aBMidPiIK/nPyd6mD/VU0Mw8zI2zSwcCqbEvx+UBi95v7zzgg84960lcucmXYnzE4eL+53hpJzbQ
GyryXsMzWRiFTkZ0PtoWMMbgUBEz0O+OWlxAl62Bg9hZ+b3vh7zyjsxfPW0syBJXQa4YB/HhsjoW
G5xb4wvyh7GdIHZerGE0Pps4ZPDuveiHa0q4KrGOktcuwY7kEWff+maCKOAN5gtdfN4oSTw96MpJ
vQAl1t/gTGcnO+6oo84VQFSyt3c4XdW685ru0XWL+WRMk7ylJstxWKp8K6f8lUK8+dBZ0REsj4fj
hmgJNX3+rL+VzAGCHFKpkVnxBslVPdbfsmf0LYG6yjJ/19/CqGVr98v1HO9+Akz4uESLeHGkSbJL
Z0z5q/w6sE+d6q0gAq+3p/Mx/fAJLcKu+57uxfek739P/dP3DSAZsvlTEQjYcEv17tLve4LoKknO
kROtu5J+dvL7OoGa5LwnS5LTmfSpp4fWDwgT/aGmwAbggBc+W+jMGalfuSvjemcZvq8vkGOa2+J6
p3GutxvoM8sujKcu3hB3KS5pNfurlIW/nySOnQuQ+oGc65gETV2onaXZ1pleFVG4rtys8u9L1nS9
b6XXm5d/vYNZ19vYjDX8puEZzGw57bmu1X5sLRdHtdkb+Lj6XbmLSSJp7uT0kjuaF0lVuTp3C/fL
3Wg7aOEI6fVrE9ZO+WUAa002MTXp353sK33/JzPjP8i/W9+i/18+Jq7p4kpYysKfoP/xTxnXviT7
KGOOk4RZ67amwnVTjbR3W9ZKHsrC9A7aayiQhH0VbkAc3Xl5Fd7EmKQV0LBxOjpdhEOnFyMKUAAI
AZZFNj5y6yEnaqOTvjbFQAo7SiRx8hFUTW2RSY/mBHyoO90VeXg35kQuVsUohhvhFV2HoTCFn2Qh
5NZJaufgxDp7sOAhIek76VE64kJC7a60wnuf+OJNBHQUBTgkMhpd+IzLs1kst1zM/LVj2JTe3MRU
BjHJpefI1p6zjxOtSH84DKicHeZ+qN38niCfeQ82Y7A3la2iJ+E65Q6omb+Jpt4gYCmrEe1tzoDG
hVrfe007bVsmmY4mQE2jnueqP2zUlGfHhZa+XveiYQkHrv+1gNrq68DcM0iq7t7yh5b47hgGlQTx
YStaa76ehoKMlhu+xbgKb5OaiXWMRdVswy5j8WChDeKWoJTxLNJum7pztC89xUfOdkbnGgN1JuIU
6fBVhD4phbw3wx03YbZcTK0/p8SDm6Jcuf3g7x2zCR/CwY8/CmGHu86NEpYGlcbjhDKCUpB4gNHU
cCRXAe7NTMQZaXHhXcnQmac+brgfGz/9MoeGgYKzFgbMIhKk8LxBkBGsm0M+AZEkGT12aGY4OfHW
6XuOtEVB+XR19zZYInkyYjBAOi3KfWguZrxmRTOPpmlMH5a2g7dX2PKkeEqtbdelzo7XsBlZs3kP
1Sn9Qa014yka+3DcPF6ZYyJNO98UnRPezIB+d4C5TT7Xfipv6qK6+P5YA1lEoIAUwUm0xK394ICT
uR0X/GvkHZOibirLzrsvMzYBr2hSNTvx7ScJWvbLOvz2mcyr5dSg6kKbqK9OVNhCdVv5yUzchd2f
H+LbtfLxr6xvJ6tlc9C2t0b3GXABThfrQQ0FLBxU9Crh6V0GPN3qtwh1L9lLG27IealrYW6u59iX
3Y9Tw+3b8jSDAG5bWg1jv6ob8qArbgbSuU3Gvjk0ELQ246jEQVu608GgbS7XsAGQmjo/zdI9HCcM
5BkBA3ZAIqoTXDoSw/pb052u8m6mxKv2agX7IXrK/OQ1aa4fECvFGXKTow6XawDDd7e1qPrrd91u
FT7paYqxiGCaqT1hpvb9v35QXft2f31MCQYLHlK0gaQAmvzXucJEmc+QRN0DOKFz5N/prLmph4fv
L/IvGeH/s8oGLS/++edWx/UL/Xvv6/+NDpfloGv+6aX+Pwpc932Zvn/8uabx9z/y9/qW8zeqD0Be
LQnd2eHV/4el7Uo6Woot5ASWXNvBu/53T1taf7v63K7vetfCl/Wn9paPD24JTG1JdcOhJ/CvNDT+
qGf96W1hm/jZypKWb9m8N5g9//q2iKKIib20yl3PyqN9I7L+vUwQCiMS0vdYOO1p1OYc5IZdnXCA
Y8yiMjo0k5eeWP4n1r1SNIbKWX35DeQMYmLGlkszFxwWgpyMrIw3C4btqlEqPNoFsRaqxu9Ob98j
5QSy59LqTMXJMIiYkM1zr8y0ftX4yflKT10PS/JsVfZXCJRJDqo4Zi2FaIs8DgI/BvpW1727Bq2R
bJIUaleuEsNjiorzo1zs8pYP0nJHgKX4JFwI6MSjNHa18Pd8vfGu9mdjaxEz1phHBGZJlyBQG0O9
tsFEBg1+A3ptn8OP46uGhYwKQtV5/TWYcjjYLEF4AS48HoyyknyOYdnpsniok6x6B6jaHVMxF4ex
8aY7lH2P7QBqkuhNlaBwUU39fcygtzfwTE9VNPaPAMXUteMABDJmDfWPGd0laqbpAr05OrexPa6s
cKh2RuHeW3Y5/LgS139ptgC9Jvi0D4VJ+LYyPf8+8eCiMmtwjXLC5DKkhXXwcbwI6+j7WCXiIjOt
Dkwk/alDv7kZYq98Bv9h7kAoyxVMbbhaRPEareEG6hoLAOOGVFgihI9f4A4X20+Ls1vHv0IbeNaS
XGOyOLWvTjKH62tG4dNZwt8zQFLQcf70gt63z2J17Hsr2yS1EA/DFQ2beIR0U3f0X20YBTdwRXG7
i0YeenroX3ZmXok8DVYMZE8FwVca53KBM7EybV991qrXu9qLigPX4plzrBmPBTT485iX9BRyIvSd
8KBoI4/cEpv+xXpNYb0ictH2E75/aY2iwlyEIQjoyVVg9qBTLdEMHq0w6nJZ8Uso7iOnys5+vLSc
68v8wyL0fFfmiG4RaJkX0S7zOSfTCoh+MG9mQhIBve1mLd1hDKBk4DkJgtu3BSdMtYqrut2bcSiD
vhw6ctTO754c37nrOZ45dcDvd3rCo0ET63jGnx0i35HNSOlnYL+SxPW24JndJ597zrbOi/zdiZEI
nDaRyVo5RrgKs0hs0obzVC/zvF1KA3DxTJzMAIMXOH1lbugawBEkHXhbOOyssHTv7vLULA7F4t5R
cNwVklHUpQB4G3qhHajUW6uOrvU81buF1AHURKTNED4nMa3Rqj7I/+6EnScnogMet1Mze6ihJW9r
Aw5lRt/BFpm9dZjoIFdAVfMs03vLqPkz25rl8CCAHT46dHlsp/iA27VRS3vTlu5nOpTO/RJmHhp6
Y2+pZ4c8fK5/I9qQXNNizsFFPo6t/eiJZF4VedMFWofzJfITKhsjAdyQ2W+NLP4lFXZ/slDl7Kxy
LXrHeGQk6l/iagRvI7jTkAgx74jg43rOpTiZ3FqOVSvtDQQU91fnZXj7lSNvgUzxYTJdsYEO4V/o
G/GqTrbFw8Of1u0w6HWlqmXL+xhWKuNMCVe2nl4iYHMH6abxJoddubXQxY6TaySs+RxaFtGnpAwr
BQlCtC1LErgd7sI+XO69aFFbakQtMNvIXTEeTkHU8NueQRCSFAAULIy422U+S2OM0K1W9dzbO6tX
nsl8Kz/qVDBHElKeb7rmWjQxu+loZlX4Mpdcuocqq286fxyO5BvLY5mP3h62bvmBo92dxvhqyRMp
f+RDXpNuxAYmsKydZD1Zo/zhJJVrAbdhnM3wwYZVyNqjcxvx4OPu7cltOtAGmUIn+pr84occNZvM
5oRciIDHBEwjt9mfwIGhXtEyH/p2PM8JPzmg8HhIcIGGWZEvYNnca8O+HUxKD2EbZWsLc5yNEhDd
5hWMSIXYQ0MIHCyf/46+VgvseteVykR4yjeZ2eerGOqnURJnTH33pk9Vv+5xZ9eZtE/pgvpJzflS
LsN0UhSHbWD1dneJDYeGSD9+ZZ7MyMRGIgjD4TZmSVIqYVdkKWY0ii/wZhzYbVeNy072Yb2Tiic4
Kjwh2VDqTU+c6pcfdQ/gMX/Q4Oh8HGDprEVWz691ymOD/EQBiX9wQpvigR3i+JggBMOGzjD9uIUl
Bz8T+ryP5JWHE3/7muv4Phyity7jqZ8nT1K6Z6sAdk3haV0wLm/aa8tF5SGVCTj/N41hpscJaevg
piylYU0YaPbCl28t8Ysg0ThFnBL7sgtriNFGs5tBTqo13hoWC+jf+nWCa8i28rm7QympTxUZpF+F
bxvcXabrMTgT78iKctsqh2ULEAlROMmUgNXZgJJ67a3hHKbFqR/T5SyK6LbC7+CYzVmSgag9IoUn
lcmeEB6qkzCPhtYohRLmKoJpMVkkUXGVVnYqdwStdw1F91WnUwmBNCuyAO4ehKVxNU1efWPZHlfP
PP0l2hlKh1NmvIo5tYqLjEZ9U3u/yPGMvxN3Ds8kZPBEQmWdFCnSckdOo3OCqhq7d8J+za+UyHdA
Kjm/pzjCpXx2Js3xBtzsqSi97onGkTQCf84KQld5oh/mweyCuWZxiDGz8E51RaPw6mbYZr0DSq8O
p12rsfdHa6ZZbmEdLV7uBf3YpOtZxM7FYH/KoQCpXuwc1qDHgYzbp5rK3tRq784zFACvwjOoXnKV
qitGlMisf+EBTk81RHYqUq6z7W0yUispC/+B2NTz5A73cBoLdlzG5y5puFd6V4G0f6WH8KNZiNrJ
MpMPQvnVtoQWseXYQ1klBpBsiK25r6lq8xUF2UOkss80tndIlHTzkhN27H7sxj4Yx2vcZrGLCNyl
rCjAEx3MqZFVqaoQGvS+Uv09meZHIK6fHGjPYzN8tcreka7GzI8i4r1Ep9ZOyu4aNS+Cc5cpLIw3
qnTcIHUWENGtba7Dlq1lcrb1OVQxRLYwigP6Xm3gx3ZPY8VeSGPin0EES2ssMVM+8fj1buYFvN2q
GwybZqtfEh9k6rTjs1llCeIfm0iSYaSEtLTmA1PcfGE7zbK1h1Hdo7IwCadfdsQAW0x2f+r5Ra91
3tNwaaujEUPjbZVCY2st0g+kBY+hlXSBkOjp0hig9zTGe4onv591nt+M3swRHWpnA820WenWmYJq
idVNO4aCyqStj547kIivxogbZHoqjEm/9enkPg8hzz/UYlJpGdVjaCid94hIU9/5oaCMk1bvXl7y
/frN9eZfkOt2nYM2EnoBunvVTvOuh0oFUIhsxA+9c7osPYamMF5UUnivkGyNTaJjTFp0fLQYtCJo
6/2aBRfGL1yxYsNE6TywGSNaT/R9WUlVNO2RUhtEKa1pHAzOHivY4UUtopswMmpUUw6pqLqiksv+
pY47St2J17yhiokgU/q62snRBg8e2sjWyBUZ9FfDeycJ1zG4VmqTvrF13MxnnaStdsiJ4Y+SSPiD
GVlegEMcPsqmlmcnAYPFDDY+VlZeviAFt2vaojYQVTU/WgYhJkg1+VeF1L3TIK1/g7sLd9NY20QT
mKBr2mE3lrDpXuEVFe+JlcQ3aljITQiWr50qc04uUcSUh5ynk+fWzDky8hqwZh9GZ4HruYtkYZ4F
2zgC0Bhy5cRtewiXQuxNqNE/QRmKVQhmIxiNsfiyde+fDfSD51kIYwUmHH627Ns3v9XRY8aquwtr
P6zj6HmaI08kAy89Xeeam8CGT0y6btvr4VrGD21qb5dG0YzBSnruSd7u8ZrHsyuHkKCTLs9227Wn
AkzAZgnDX2M5NmQx6tjZlvnM6DahCWaL472JqWGdAjmyx3Fx2s3UCX2K2tRh/nTUfu6U+smVlYXu
ReT/qruQ9VZcAA/x7FV3TpQkZzbEJHtldwzkdqmPlfRNTg3b36Jfe2JtJfeZMZabPrqui0h8cQTY
yDIWi/6htTR3hRnTWp9US4C/K47eknXsKLP8Aw0yeaPGJvvND6o3oV+7p8yNbSIJHbGkMZ9/kx76
7IqMVSVmE63r0YsC0UyCDKdIVvYQ8fzMy/AUxtEZcjiTo/BvLfIOAXiDYd1mKnlJjHQGNJK/VR7p
aMLf7m1NdqtQS7otAc5SpmvH0/WSj51f/tJjvVNeQZu88+dN2MSsoZp1+hzHBDZW7gRvLuYzR0SQ
ZKWjSXL3fSNubEawtbas8geLMkTIXW54jkzFJiZtXtI5Crd2uIXSuGPLTnYMi+EhHZ3AjSjBk+hB
WTW3RiTmM6Feve3w1KkrT3ep3X7w9qS0PxUp2zqGJQDF2wbIWy53bsemJyYkhY7rlhgleaPCOCSY
nDoorTFRCPMc8fzc5KZlXmeDZFtpw9gMtcFaPHsO915KWSazk+ZhqHN2MMSt3g/YnRvSdcWekyI9
CtY3rfRQeHf9Mtu7dnFZhaei28GV1LuZRqMjOXi0ZPZDuEFM5oIqbXXtoCy+9WJZDE82y+90Tl4u
r8AaVLWRrRl893F1k3kEBPtoGG8KHoVspzCm4cIatvKtCC0+PJIk6GcTlteMagzK/QpLnsy1OaQP
RSMQbG1VdAWxiSt8sovp/2C0DueqyMpz2qXiJydgc66NnGtu3PCNE+jwYCOKKUK1JeUkl/DZEr29
0cOVN9wlM/fTomRfRgnbgnKg3+3cOnIeyRlnx7lz+oO6MmjkZNs74snNp0PuwwycuE/eqsrvPieo
B6sW+XK1DDw8eWlA+mpBOZtvcu9b+PKDY2frpLqSm63GfuUuPT4PhDIvnR7tc+Za1S4WJZY7QvWd
5Hf6YBUW3wwdwOfIGn/VeWptuAmRpmIj1t0s+Ld+QvG3pRzQDa6qeAta4o7TVmwKewA9Gca0DWfj
xkhZApLldgTYg6aTLzSr3XLhEz9kCwdjOnrx2ax99+Lmk7HxC5xMRJLi1ixMUlyLB+RN8cQaWO3k
zDTy/EbCeOiqJ0C072Aqb5cZfGI6Jl8ZJamDq3GehkauzXmiUYzx03L58fgMu1LMt70//6x0aRyT
NI7/LyTN/1is/LNW+f8TlYqz6r+kz/yvtn0v/qJnfv+Bvzd0nL+ZArmQLoztOK7v+P+QMz3/b+AC
+F8dJGbb+v4v/6jouH+DJkOhx3X4w8Cd0UD/QaMCRoPxBHEGyLKS107Nv0CcoS7zF5kb49Y0qegg
Ql1Jy3ytqwz+JzBcFVN6idmStA9jOtsrczKgFfQkwdOdCaSlXNPyy+89dvQCg/ElIdohmjtKqLAv
YLB37sDaHyLWDcyUTmxLz1zUShaqr/aT0YfJrprJynqEXjZYhfYVn8Z2GaNE1yc/w90y6j3AE/6Q
HICVbFJVtvc2AusDS4ydM9Mii3kso7yZLD85tFE43faWffHsul3zChIXogjLfcPqbsnvb2G5Bil0
g41y5NGldAMdpw+WhpWUfGzKldVBGlwar9q6mDWBjV+6karnONL+LXOWOA9GG+1Y7PizFEkCg5ir
RQo9er2YFFEqJb9q8lLrkXV8uI5svaqxrbpWLSseBfMhravuYcHzITdlxl++dki1zqI9koZ9dyfD
Y4Axmy2a2VW95Wt6CWCOwRVnFKyvpe/VliAL7lpqnB0NgSFdPnwdH4xIBuiOL5OWp07nN7abBt3c
Hwtb7JLYLGNYH8anTU1+G07yK8/rXUvPYnVdxgDipWIilE+RT/+wSqhCqiwJgyJiwaAW6Qtrqiam
aPcVN/ImbQQPdc65FphO0k9YiBHleoxW2rQsSFlZWlAarebdnNi7iUs+OITuPmtq+tgsgKPkEhUW
a6jsj3kES1k0jvmwSMe6m3tlrXMY3j9Zw0FOsnKG6NMKHSr08ELuYUTQdRaj/dk0vbHLey5rxF3c
k5yc+Xfjd8S3yPjqFQjk5ZTV7Hlp4uyO9GTy227Giu25bFgSEbZp0XKZgB/UURwAM2R4xqPQ/jHr
GaZEJNgDvBiNvLNCavHwje5ZROkHo7M8enH1AIV9Z0AXvF+KhFgM5hhA8461bmYWWvf+QK4pUfNn
rtJpC/nrZyH74ZYr48Gw4BaRm2oz0hDs1mEESE+TSexMO95W0s/alFdWfGWX86nL3DuWtajHjkFT
3BC8SX3ItKXQGPVGwmI5WOz9tivyPgEFP0Y00n3Me3aV8MMGeU1xZ5U6PXEf7PqCCO0CzmaHHerw
A8NweGw8j7BmKot2CGCol1lAj8YEiz1osla1SXhh07oQlQihxYmzdhkf3CBkk1i/iVLBPIi3HrPh
N2qG6Mawk6Lbc6rW3Tq2shaSOANM/WIAj0kY5LnLL0FW0EMlNlphpw7ASc7w4DuqAWXWzJzGcT5u
vUkRs4vKpvEuhaVVdchUblQg8JMF1ztNERzMFiD/OrKMFIcZh/jK4GZ3z4ZNUDDaIhJFnNQSvCTa
iR65AGIWx9uwMLz2q7KGuFhXwmOFJytZq3gFTEj9NK1ofiEm1B/9Lg3vudR4c8DyRfbQsHYhrvbM
PbkJq8rA/3bS6bo0hKlJBSx148Vi6wbQNwRNvo0fWWpexx6Pj0KykK1My4JSV9T9GkNd2ZBgxxHy
fJqI7N4hHZ5uF8KzHg4xPapznIHROCH2x/j8k9VdsTVNDizTI1oICaFOd0VPWvvg6KbLP3Vj9MnW
dxlfyVt7IVLbIJb30mdRlyY8/wgVzNwoQFcZz5Qs6EQx8IPWsUtaL5yQTjQRVXZRHB0WVP3Euoqv
Fd/ufQRrxYrCeNJk7VuWY8Xekh6KyVnePcXKNVzqlelA0+vcp7ibXr0ynYK21PObp0a9ZXl1/iBT
TKU+iUCWlmV3wS2vtsPQem90+oiOy85efgpz+RqdPgywuctn1qgEtV8G6AoDWjRLzRz+XkJQHUQ2
opLTOBRIrUMm8Q1CXtFhZp2WE8H2XeWeoe/mJhcbI57CfheNdccKDTdrxo0FPJ7bxBI/Dx1LjeCQ
6u6SIubIR1awDuE2d10vmIAfUri+goNmlnpMjypPYNjTooJmDSAkvuSuiL8MJxcE35IC+Qn0Q/LU
ILANP6NqIQ5Lus9dtgisrbOidrgSSQYkYZw+pjgNvZXDe5kFJZEDXSCqF+7gbcrCl3a477o5ubMN
mogDVLNbT/YPM82rQxg7KVAqs9+yi6r8YSyme2OQMXm7rr58qA2TPOow+/5Tu7DybGa9WH4/wHb4
KAEx7HvaQ4dwKFxjNfZk9DGvxIPR+g00iM6/I1c6YN+L1Pvgkt+/5ElG6bEpoUqBR+tZwkhM0vvt
5QuyHoW932GMyb+mq+fmT62h4dC7BostsWpjihqsrcp/JzR9onVqcMvJGLUfq0o4Lyge6S4hgOdu
Wd7g5Dei1BNPhX9j77yW40ayLfor8wPoABImgdfyjiwWjUjqBUGJYsJ7//V3QeqZkageafrxRkw/
tCdRhSpk5jln77UJZNYyr7rPVVkATCG09ouQbv7WSa1/6kvRFqvSothz7JRBjwGTEi/BMJVnVLDm
lSKwLL1K4sK61yKzTE9ZMbjxjqxly1mrUOuiNYwUF/wPqo9lVMONiQrYOweHwclrrlXdxYmFe68T
oXPKwiY0jlXjy4ekMuyPUzsnhY2sqgs6surJ6TT9Iqg0CbUbkwEyvtmtXAwlO5/gGITitnEMlGj2
nUUM1UJZCCjsFoUsawTRSpvZM4CJnlhP/PneVD8MgaFd+xl24MWg6hK5q0omjuVaiDQCvkmGyqUr
yeWtdLh4rT6NRNdTgx9qVB8g/k2zti9V1CVPaa340uVKzXVG1zEIEwAsogNVlonPByu1vwfSrlU7
0Ifsf5iHnexCMqY2nm3HD8RFI2wItTMzmm6jkawJ8MmUCGaLgLdO5zFRCHNxFuLTdI2436rKs9Up
zDTk6l3WdxeDCZQ6WMVk6yeSkiaYDkDV3SX+OEgjAyEBBKmN7a1fhnbxAU3cckjpRkQJOlJQhzq2
Wh55YoY9xk9OdxXjWd/2TendI7dzLuCoegaIPus+DeLZsj2ZO892h1UhQrFjP0vP5pSkO1fW7raz
AmqosaMbphFBearxNuNVrk3tGJo1n0KBjQf1XN1VRBcSGb8YxpzjA6U6wU/hKqz8W50HfokX0l83
Dh6bGn3dk2u05RH6p3qIaPQt0cwyBNALRyH1VoEi8ZfdYdLyYT+Nblmcqjx3461pETW6cwZIxHSC
GrLgCHCyEFyJBB9zLc2rRAvMB6sHEbdNQq2HcYEnckAb7EBZLaIoxV7qm4yvu5CPGZa/Wntj294N
DBeKvTG6EFjEpF7Z5lgs/aoHOQWu3lS7JNT9tUH98VIYdE9Gi0b7ZOU3pTRok4etgX68IGovm+xT
XhUuYRv2sZwgBmWiuVcO1uUFBMJjr9nTCxtGdKekSF6LtujQDJdGuelNLd7T5PbJpLZk+UrENUew
3Pb3BJ71O4KY2KCKIZAZDqwqMtY6k79NaUqdZDzs79W2ZzjuX9lB421rZobeoh+G6RxbqBVKYOaf
i3r83KAzM5k8h6m3zHXCfDYQwxhlGEkaRYvv1CZ/oUCcbZ3/VnD8XPG8o3ibQwthMSdSwcqTkmmn
XVfM7rTo/u9fxkV+B3zHkVLY7zi/3ZRmOeFX/V4O1TzJVCpalmMJrPLX15kFJz++nfnzBWts6lSE
1HM/FnCGp4nG9WwSE9usfYnmHd5pJioCRSpOAHssDr8kHfztBb1E4f7m6mK+W+8vL5mPMeJDfgM9
4sfLh/CHtKIym71V4V8K5oOAcFNnY82Hg66vk4tbmljqcmt8jsecCSyniU737umK3ltfjxk095L5
4JGRNr6dhptBAtVzTMJmDjo0rK/popJBVR8m55o4S8imEu5wQXJzRZP+9Ov7+fMbohLW8VR5OuJU
x34n8JkYaMgkb4v9RBBJhDSGfviiQzaHMA46Fnu8SlzzNyj8ny9q6g7gWaQVLpX/rHn6vgqvfB/M
HpAXLqqmkylB8aXNM93XA1O28m8p2+YHgIt9xdka/CbrvbJNeaYgyC1t9j2RG2twGa9DrG1SfWh+
865+ftJMvpY2qAlcPpZpz//9u96CSGujyEFd7cM2Fc3ZMgpGyHiP7Hb368/M+Iv7R6IGVSTHREHz
/d2HpmLCsOzJTmj3GSAXW44UhHQE6kT3w2xXZLoIpCiks9BXDvr6HPetad24hr1kIwpe26+nv8Lo
SKZHxj/t4CxxPqy+nhV//VJ/uieGIfhqeTR2uC24BH68J1AZ0HTnbriPg0CX+8Jtm5shHyiW/vZ1
TB77b0hjRHPv7j09coYfqg32GS3cdlVJgSZX+Uly+Hqdv6Vg/C/aff+dyPH/E5caQ5rk8fnuU/lJ
6bh6ea1e/vGSvf7j+gU09T92L92X5D27/s/f8qf40fxjlj3qdMK+Khznr8ef7HrxB71Cy+OaiA5R
zRv/Ej8KHeA96GrmRe/Fj/ofuikc3DE68Dehgwf6O81Cvpr/XurJYQP9x4M8Y7AZI0v93VIfRY1g
vJX46x7bfBQNW8ciPa8Wq3iwtt/dp5tvv/R7Sv6M1P7hWg5TGo/lkAsafHmdd9dSaMnywq59RtcU
lbJD61fu6lhuMjIfwKg+M4JbNv2jZ240OZ0RuOjLwHzCe0JVPhyHpEC3IH63zLzTBPMyeFUm+gcW
NfJuZ5DT9wuaX4S556Slvy6Ccd3E5T5xejhmVD0GjpkJU7TUqFcrZ+POvFGFI86fSZmK6VaztETx
rddOo/yvwwRwgf58n1wBStQ2sR55sJt+fEVpIAsNUaO/rqc22OJz2CuStm4BqPjngRUGJrQG9Trp
CEtijz2EJCgum8lu6d901kxW+qhRD178xkgQZrv+0bLCPRY5znQtVp+s/yiHz8mYrTpcEk6eXcHV
D2OUIvS1wIMuRIsN09HWZq0D3/UWNURhwMQMlO1lJuwrvUTeUUSbwspWZOHC2MShF4T0I27RwN3S
tYL9iLOp7LCwj2sNp0rfeotMFwfl4CUo81PtiB0mw0VZPUFf2WsBZVb3ScuOsFZolfbmoUARJSxg
hQx0useujYtFhXpkWQxybzUfaGntXdK/ErSgJlK3tGa416jLhHpfRteJS34CUc2uPa5T6R84qjKd
8/E9JKfR7u/SLjtwAtoMdMnJ1kqXbdpsyshF5NHDZRZyhcCZXGJmalZ11TELrs23ARO6a3HNpF8X
pG6bBMXU9iNRvgesWkuZcapObHqn2NrDboO5bonMY1chQKLs5fZwGQ8OJBK/vLJhTWES0Mxd2zjp
Yuq7laQGEFG1MspPgTyLrDxleMtDkol7oCpse4fC4snsQJ9CO9XCuxjKqVZdw3LY4P576SJ/bVmf
yiH/WNPLrtiYUfrHCN1hj4J9vwmrbOca3TJ15SZMoT37dXute3ZxR+T9RyVT7Qqwk7WSbXymbdXf
igl4x1Lx1RKN793Aj8g/K7P0GTsX3DQ8OVGA9T/5QvxccKGeyV88M5SMG8FbLx0ohMACgr3srTtp
tOKB0p102F61z32XAd01PbWFZUK9DstLfUiLmOQ0aDQLIE4AgkQMbGbhw1a5A4TXbgynluzmGGwX
WQ8ijFfhDC82mSw7EMs0v4ayU1dBV4QnszXPdlU7l2rq5G0j0nLzv03yv8lzMT3BvOk/s+4QPb5U
30/Ovv3At73Qdf8wdRZaHR0o9Q0Ign/uha7Jhse/dhyBh2Xe8/69F8o/sAWySc0TLYfn7jsngPUH
P8EDhlt0HpyRavU3NkP3q7H0++0Qta1LIMzs+JynaDbv9PvNoOzgF2deam4L37DuI2VNq3YMMqSp
KKk6esjbrkyfgxg3IS4a9zlkHoW2DgH2ouFP1jbzDIdIXSt+ZAobQjedgNx5mfT3hIvNS6moAoro
ynEg9vYkGfZEvZz8OJgHO1D49zGIki1usIlt0Mnfplw2jwE6Q0pxk/O2I3HH667CnVvrGmIAklh7
3QVCUnXiFsFoebTqLD8wn6K88rJmr7pxNu6juXjUHGiZx6Kpo2OUgLmdcXjZPXOjSd9z2taQ+XKh
pW0hNl4GDhMyfKr+Ay0m4vhszT46Xt59JDWsYQihkQG+LOUYfvCBAj349th7VPiK323mKAvMJCLz
ivaYePXmMyqCH1TmVU3+sE2c4fXESmeRXdqGJz2NCMyucg/BQC5pFwSOWV04LeDKohUxXjxKgQ0d
0ewqg36GxiNug5jOPs/8WTEze0N4pN1C2/JpjId+T+fEhpsWaD4D+1oby+tgiG2CeaApFBtfYsZY
qqCLL4jWx73To8VrR5KOGSzQrIz72NxgqchP9BHsfWQYalqlFjnTqaQrhJa4gndivgVNIpk1BCCv
FlliVbtIi2kJ5h7ErOXQ6Hy6QesJqChuGn6sAXHvCf6T67HRi00tDXln57rcdKZZvY5NwsglqmmC
t/RFPxe48Z+NpnMOrMPqSO8+vzjuKB4QFFZXsR1HNhIw0Gcbu9AjbY3YGHUbMgFVL5Gz4jAgoWGX
xIN3rsgJXZd2TJvahkpzYGYqT6A/iKVvGuZ4NmIh2C792nBa+yM8iQQZp03vH5Zcv8tFpF/CSUNg
CZReF4vIHrxrne3mXDh6AKI4dpsrGw36yS6l2KOYQw3o+3m7b+sJUA7wN1x1lROnO3Qi0SVULS3J
2OuGk9/Xd6k++R+9KosPWmxZz7JKnSP9aZD4ohLcptzwrquWGwWQgiigRdExYFpmDIWJ+QRqFXCA
qemkGj47ysKtJ3NfM5QZF6ZTi3U4QoDScmcinjxa632orbAVfoTd6BMknafofzrtQ2lVA3CV/KDj
0NzI1s8RB1nnhqCPgXH/BukK1JzKevRRfqatqJFby8pZEEdwIhuqfyXW+rOhVeV16lR3ZVW8eWHt
L31YhokHC65gsN1MeG1SphLSRlRnRBy5OOVvcpAw6dkHbU6XVMrB2fSkoZLVgLsPJ+gAnj2v4afr
IO2ZILf2AUXgEhAm7ScrBWTvTU16cik81jyG3QODoOxKAzIOs8zMt4nVtO0FH6OP5wg7P4odfT7U
AA1zP8LT4ETbuA0A3KFRwec4Y01csZpA58n1qcF0P3HgRMLNzVlIhnoDYoCeF8kP2TpWVgUAHN1w
q516tMLBsndl/MpgkvOgEWkbhOo2X4tm2BKQbm31zsIdoEqsKBU63a5HFZgqDFELhfDuQXJrl22D
AAl8Js13hYISIkyPK5MQl3KdRU27GWlUXzXE8t65UTV9dI2ZxyHCqjumQuRYCvz4xheuv9GjPHwr
wh7WpRbjmV5MjT5u+jEe1qGp9WRCkPmxyMyufca4ruNddNB1d1Mc7kY/pFmZxwpxWy3FFeNuTjSY
GHdeqaonSzCD86uxWpU+GaYp+oB1ghXpToeQ/AQUMkamQFtwJSIpt3VLQ5L7X99EEaA0GFJW+0lx
ZlrTrtpNyj4asJlOjR4nT5VQ9VEpolageN/RsI33UeaCkQO3c3ZqfTqDzEi3LvklN2V2KsJmz+xg
vNGbMFwJBI0PyDm6DdGqGQE5gwRGFhfatV5nenE0+Tade4K04RCywi9jMp0PVp884/JtnqUWxx/K
sM2vuM3xBZih9RF6JM3skjzfAlVv559V0I6noBuZtgk11auobcx17zYeFDZXXAWkREyr3sdrbnnt
MYGkSdxBZ5eQU6cjnjKoUh7t7bupjxPYa+l0508NwTZwUONH1xtMqChDcwaWjtIjSSdnzg0qlrUT
Ra/42dq90UEJY6phh3cIr/iWzdeWYWjeNASIbhQCx50wCuez0WPEcXzF0uemYlyaWZKR620MM1ve
zLSTrKHULSyVIG9nuy+qktB4aM3jhO888Gp8Fo2miI1x8QEAw1NbvBzFMvT95BFayvTQWK44TVge
YVvKUnA094GfZoFp7JVuvtajHq90o4+xBLllvJ7yqHgYjA4cAx0BPcOnXcnTULjRlXDrkeENa6sd
pC8mUYt8jePoOrIqdTaL2lQLf/KRzKa9F38koIBY3DjQTW09qiy/SMs16PuV4XRPuo0QjITS9qDX
lfOBYODuYYiM16rNCZaBZ60tpErMs/Rq9UW2jdpkDmC9xUgXYDHWlmVRe3nD2klM8SGqZH8PVqJ/
AQ4WsuiKLpKw5kCoL2RkFw9yjJIvicnQBeoJspAgZK6eNsYzjCvh7KqoNM8NU5s1ufCbARfM2s3t
6DAVdvfk+eoTceo4yB33WLoe+QoCiHanYUYvjTswoMC/o7w/jIQmMwwvISWWEXjAftpnUTGKu7ji
Idm1Xmgfoak6d/ASfdTtLakLmdfs3SDi0GFPcY3nJ71m9McHBYNjLwrN3s6lnqD61KJVEkYggG3R
X5TPd7od6UIEqenhTPb7B/QGycaYYGLA+qhuEmkND3ExaXOGjY38L0PBVwM5lbmt3buDXA8Wto+K
3s2lr+30uqLYYWgSRo/GOIp9V6XtGuZk8ZqBxNqi6c5QSMDzHmTmPRHKPZ59w8lfu1oMm74m0n7R
O854x8waDXkEy6AQ9c5SenAK8nbcxF1Q4p+vp+Ng5M6bnDRjWfj2uRBViDye7T5D3PNpzJisLWZf
vb8cOjCMi7HTwmNCRLrFSRKiqe/r/WkaIzyPQ6o516NTsZCAsf+E5lCse60mHczXmm2f9uGNM3KO
MiCWb2QD8HWKZHGFoAOxT0gvwvCBD5f18Jo6U30TFuV165oNRDr04KOhcRxoSHySoxOfyoZEC6bU
Jw6dJPp5mXVOOpHswFaYSH81a1OY8VaX4WlsSOC0xtfC8M5SqXqT5viLeIJDeZsXRWEuy0I3NkGp
HVkTUyrWJAru05J1dZGPQwY0rm8jjhFeCdHHIYTbHBvt1gXZpD/3xeTKQweKaAsGz+OzzxPrjUNW
3m5tKGIf2KRK9PCN8UXavSoPU1py9qvc2HvtWpf4oQm8+scaX8Sdl9hyZU3tdKXX2lVsRCBQWtiY
yEERUIAaONVV6HGaA9a0cBlNolRTBirfvrLNezJN1C5FkM6RkmFZ30RH0y6ca1aEZm1D3z45SnQV
yCUzfCr4iZNIcdUsOWdO11XjjjE6oFI+J5ys7/JKVCeeV5rzhtaMm6ocu0uslWEP7tABIawZDe0k
ByT0mtpeRxIWI70bjCy5m3BrIqDvC/WcxUF6MmtICEsjFfa1mXNCiWPyJdETYavFS+bkN7FokLPW
aU3VT6JIOC3jslLTWk060q3YL4JHndikY1UUTbQIdEs7KMkRw2rrfQ6w8bqjU5esmjq9Ep0jL67S
LVy4kn7CErBD+uqOofFJFa175XixfG4DgxaQ62lM4Rl65stUBQTZ+BlTgqXFPMdjMjogTMkLA038
1IObBn/YAPCtxvXA6AuXSO5urNLeAuNPSM4sKhIyA89YjhFOM1atF2wRzcITbb4KIDNtkzlXfgib
bSDUDVKnt5L5ws7Pcm0PxqVexvSy9CIA3hReI73E1uYU6SpBSXSn9xWhNnoVbn08aKtYB0JIUMxW
m0sMUDs7bsQEzJtuKGdDXsnBsbM3HeHFKlTaTjgDpNmYAzclcgwbzaMHlwfQnjB+EnN+38zJo0ai
HjSOHTAuu35TRc2Z6jyDHuVeMS0pV6Sj7eARDxuKkU+IBk6xHa0A3yHq9tAakxv4sckFGXqUZsxQ
4UK10llNPR6LOA+avYxn1yGIlQUahGmFoZQwOwy8y9jCIR52GQpOoo6wfVWbNBErPRlekKus6jbY
NYgeVwjlzlMr45veJN/LCfTpimfP2pKNQqxn7xmLvh8rZEOEvR6irFa3fsE83vIBqquya9elTsog
Y2mnWmBNNjdTWkO9c7Wx2w6G7aOmIQ1x6Sawc5ea19L/kklTnYgFicJlm3B/3QqmeTyAYmYu2O0s
jWyy1hDtUx1lBUbLIKFgiRonPA7EBpEbKLruAjAvDdaOKmABWunw0pjKP9bO1BMiAfmNA439hHqp
VetGs71oaUwUOAea9+EtXiGAh0AypznKY1iwceiPivT3u0ZXxZztRY96q8V0CCVwEs6gLl5hXXbF
o4Xn0kQftNUb975pYvvIAoOqIyzc3ZCUL1MRmigRZ73cEJEJVntrYB/dFzG2OAlLX3evVWsiUMXX
TaCHXiTPIyQGzKoYMRZ55XcfebLCJfoOVHNpGmxTZ3C2w8hWbSNp2dP9VYdoEsOucekSLFzyn9ah
qIqjgf0Dz4hCcI/7DU9I4oVbosLajH5rLR9cDi4W6PSUtiwwz/jbGPJ/I6r7X6cpyxkwLJgY/OcG
3DZndvwtmnnOX/7XT/w5jaJjNo/0DWyLP2rXQXHA07aENIQFqMOa51R/atcN+w/XsJgSGZJBOjEs
jMj+mZZqzQAPz4CIYJGZ67ju3+nA/TjzpUrlhekOOWie7TAk0hmIfd9/E5Ii3k76fo20Il/Aspo2
PiMqiLYBoKg0Gr5NOv/jsOWn4c/X63FB+n3Mb2ch//fXI1yujuk89/A50AVMlnrrJgZhqJyH34kq
zJ/GOjYRtWCyCIoGW/LTWIeMeWGawMDQzOuE+6W2TVWlAmPPYbm4in3VXbUTEv1ENBnohMp7dRIi
XQkQjfe4ipGvIqgxDgRZEN8ZtzUxALGnqkcLhjLUKNexrx1HGYdWFzU6bXjRy9qQbMbR4AYUTVNC
/F9v5l+0mUjkuLFxn4J5Y4whw9I4Nlal34Sk4KHpCyefvDBpfWmcIF/Xbk+56NZJ+9ZiJfiCxIj9
K0PQkPvJdOOVgrMaDFC1ZYGmNKGEv2BM1Y4l2bvdrrRa2gzQlXgprfT9Rxc/AdtYUE5yEapE0ppw
R/DjmtLktphMVIMpzUPAV16vhkVtVYJIadlVb2mkVQcJEEAqvg8Ug5ivZHaCwHqP/jEuMKCb/gEk
+nQMBQj6YUhOQ4Ai1/L1bqnC4klLA4oIXVwiC4RiZsvTyEwMFxy8kZIicGl6WnUaA1Q2bDTgqhHM
UjaSp7jSHDdjTGbHa0PDwcSh6yn0Zv/bYMWrEav2guYsvKtOXjdZFG2SmkZmEBdL3K4c3TRvTSbZ
uI2VuBgVtEeh3Y5AMmxD1gvHGIKty5R4laTenhM75XlhcvmKZAzdUG/ERUAMbyP+BsSH1Bn8kOvl
LbsEkVYe1PimLC4unFRfda5+6VuyY1vOf0sjUy9KxFcga2KGWupTj351YdSYIKxM26KBueQxXPT5
jsbmLLKwgjvkpWqpD+LVbv2TEct9ie13mRgp3gy4FiiEYEXX5oUW17DENfoaOenGhNtH+myzNfXo
TRdOvI796snmHzrfvYYf/UYL5QRy+6Boby7jzp/jCcs7BQyDaMwF47xj4MfbxtROQVKFa9A0fO8G
VxA6ASpNnSLT6nXMIH59Lhv7OtTyp6yLimVPbwPERXLUveGLQ/wr42sGtnHKh1cNpLx6ANMXXUN8
QWtSekxuNqdXsAe2MEfEiOkReOSnwK8fByWcNcUg3UWTBrfja/e+qU5jJGHZmkwQ4Qn4SwEYeIzR
zw2OoiyK861TiSeM77wBJMNkkaE47cNPPl2vCATdInFMucTVvCCEkfmbzqWdXmh7Yjm7VcVxGUNd
cEG56eH9x9imJQmIi5QHlWP2dA8dGZhELe97nXeayfTUZXwOll5QROf5+n+jrf9mtDVvlaiGfrm5
ttFL9dK832C//tS/NljsX7O+wTa/yjP4fd/kHo77B3FOCLXEnzssw69/msOsP9h2kfQQz/SNdvWv
DRYlCBQsE/2IJXBTIdP4OxvsLBH6fsDFJidJbyOP2DPY6eU7DQaEu85hUi7Xjc0at5iYfwAlcobf
KJXe7+P6nJ6OWRsqjyN4X+8uU9PViXrY5Gv8md3HTtfcDWY6VfEMxt1WpUhRv/sU/kpcMosifnxj
YKtsel36LP9CZPLjTu6lE1TE2HfWqGS9lDaUzhLeagEADHaqDMt+Gt65rYx2je/eovH2yNrmpz5m
o2kAqPaiA1lu5sEoO7EWZFKQopH0V6mappMxxMXVb17v+5PHfIfmk9as5sIfJucP6jsdXUS/dewH
pkGxn6evfTfG6PIN/hx7mYc9jVWkV+R9sLHnrxXd+Nd2cPsPo4rQnbS59aaogx6yfGgOwMTyt1+/
PPHz94SXNw9kZxEq38l3g1DplXoRMYrENlhYV+EEsZsqYSZ81X1whCXPUpahBDwmjTmsdU1Xu9lr
DVpBAswZLPkoRpWe8eEcDaPY64F2Ib/BRjdDu4SZTdnFz5gr3W3nW3TVyIP/1OLi2qZjWdz++r1Y
8yHu/VeDat5EVGNaLn/98Va74dTrTWsSboWVG/UHCXzIlYVa0X0NDn0V4idLTd1ea3ndv2ZOj2U+
STOPPPm0sXeD44HiGYbm2bE6so4MIzulsWY/DXS+6pp0iyoUK8yPZB4lmjpnmMf2hAwH60pFz4VN
1kLo20+eDdy10WgRZ+OZVkZHeoST7nEKOcBf0HpYmj8hrA8gDTHQMPxNkGYc3qgJ1+3oWvSzenhL
hJ+8urg1poUB+vhoOyXjkAgq2yJgNTpWqc7uEQmNpLF8GqKnX9/Lnw6xfG3p+NoWs3YAiozef7yX
haTctuvRJnDcTM+5HmebPOr1E+K2LTbkNy3qh3MLXLuGUOMG6a6tkv7NKZPqk1WUzVWpsAPhNxQA
m/MkWUkNt9ciy6SxpB1R3ORBXu8wHKnhqIp0fPXa3mAQ4udH/DPak2HG6lRMpJYuE2jri1Hpw8mN
22jTtI7+my8OK+tPXxyezHlLQPRt8yi8e7OuXnRyfgjquOyusUDOVE+hWfuCZf1GG0mmK5GGEvqU
TBdgI+poFjb4ObR+xc6YLPeB+fH4hRaw/vnXn8NfrK8uBQtaZv7QOdr/+MoSNaYddHyb4QvOVU7M
b0xlkEXFw0oO3W+KpL+4DRRks8JVR5XGkv7jxXL2B8gsjb0ex1o+6XTE56c4Ov/6Lf3FgvjDVd49
pZCsQqc2K8DLZhh+0fM6P40tGUBI3EHv/Ppaf7EiuEzCvHlHdSl5390+vpJRUdC+W2dIj4+mlk6v
k1M6J6sy9Vsx1Cy7Gd07qg5dz268zK9Wv34Bf3FLPdSgM9pyVprMXvTvV/9c6xlDB7a9TjBbfzD6
kkmzP8nf7MJz6uMPK5/tGhwcEGuzhCNtke/LaZZcd0wiZ93Z1W1RC+w4+riNgKUMkEm98Dxk5tIc
+tc5yrUNEu08wUggHiTHIW3248prW0bXgYX4gKHiViq6ofZwW4sCO+QY6OuCAm6hI0kuLJpKC9Ob
oOP05RfmCMtf37L33w+bNsM8GcPRjlxTn1sQ39+yyZoQVziVXJdsO4Ck8Whj/8bp6uTabz6dn27b
LIpl46PDjegIqfuPlwomXySypWCTiaOgijBmkvrUHVWVQUBHo7HjVnu/uShHwfdPNVJU1huOS6ys
0uZ49uN1exroguhFf90l/T31LPEQyq2IiRz6J7SGqbMwhvpWU+G+Uv2z9DJyu6DevERKGItGD46c
fWjsAxA1fecGcgapPcIst2FVbJMGkmHth8++qJ/zDos5NeSC4SaYOAghixKX2kL2w96OO2tRyVq/
8ZyeDgVJMvCIaSBozP8XJFzowAd9+8rN/Rm9p58KoSXkh/XYt3xB3F2RXtoSqROh0VAq9NtRxnjr
2eksFxZh3p4n5wXT2WumT/U5m1Kb4ZutnvB3t2etjMSmj2pFVEIEKa1000VVS5oiQIl0/jmJnkdm
XPg+wwx4AS7MV5F41dYKQHHOyQzW8xAKQrz19L4oupvK3ba8zzBSxmefVIm17aM6DTVFyrFth9Oi
SexqY5ckgmahV9BVtdOlwKF6bZUwOQ1y75gkRWWzJhyCPbdqxRcyKt2rlC7nJsR5ThM8xv7lGZ2/
nnpHpoTOmfFHBnv9OqR5g01oxLzm3NFjzVdNaRL3kLWwyJZTGYzHygysCxbNkjE2UwlcdVjvdnmQ
TVuRQHBw7tsZOjJYsAGE9zb29Oz79p5Oy5eI0+WHUKAAM6csXXtu95gG5aFOh3pT04S58mkkAMWO
TELMK0jMYwHOhUhldFne5JHvUF5Sb/owKEYqXSytXVNUFZolRZB07A7w+LSmO1fDhH5jSuwbpBnp
K7PG+txWrm4BkiGvosMDhnwDmie0rQttBeMpK4vksQ/NLVKCHFgnDaibPE+LC03uWbPM9NKGAFGO
KzzD40OipuZi+mP7AB7aW5ZaNcLzhhpY5Fp8rRUlULWhIkyOg9Z1G5XBMtKh8BhlKrmyU1z7yJPW
cT/g5mEW/qL5RrXPndy+plFdrgI+vd0Upc0laJNPVSfJ75nfYa+TaUIL/EZX1nbK72mZGkuXASzQ
zCtfk/U20qN+T6Bl/tn3jeAeqyzxkWYbcgB3iZAv6cZpMplWTVM2q8kDjpUPyr7Isg+u41kwrRfk
AeVjlb25OpR3EhnGQ1pU6Tmz3S9BaT9nOq2CRW3kZMdWiNwfaZ3njHd7OPMjqtjAZC7f1gGO0J64
6bZSj1VRPxYeo0wUh0b1KckNUDZu7OxSr0y3HkEO68JH/kHlU58qSHuryqucXVQVyabSsNzbJi+K
Lmz2waoy7QrLLZJkTM2nKs5uWWHh46dljz/QdNb8X2pLV/bk190X01bHJB+Y7kWekyHnNodlFAb8
D5oKiHXx3HU3dNomNl337NdwvI1cc+/MdvxUu3Z+m1S9cyaDoKCxgU7EMsNun6T2zVTo5qUNUj4T
Bm3ZKqj79mAZqKY9owk2gUe4W+tBdRR5cQIziD/fBFGhRlp5YK2Ch4aQcf5dMR11veQN5mW9HG1W
R9uqRzaIEue/EUQveOLbU6fs/poGZ3IBP9QjJdLSNW63ZhXAULSt8LkM0nqjnIjgAS1B16kjQupA
Dwz0n6+ZfCKU0Abx2ezJE+rdEn6hF8CEilV5I7TUQ6xBaedszNT6YPqlzRqoIqI34FsZEll1o7e3
yh+PuPqRTeAOi6N7P44z3nERX0x9MFBAh+JVByV/W3QRJ323Z0IW1bisF9WURSt6W+dKwNsECjCR
ZmDeGUSfQOgUC9D4HZmR7RY+cEsskfiUdeUxMOwVs8ZPWchgPsw6a9sXjthWmn4H73RVB0N3ldmd
f+pbtJ4Lm0H9UwOabZaqZwjDKc+6BfmHEvnV2FBdT9Xx/6g7kx3JkeyK/oo+QARoJI00bp30Odxj
jozIDRE5cR6MM/n1Ol4tQdXZLRUa0EabQhUSlRFON5rZe+/ec3vRx/ALbBy0eXwd1k4FvTWJIJns
1Qq8es4hdrVQRVO/gtzRVWBvfaJD6yk6ce2o93WW5efaNsYHA2bDLjWrCk0DUbfSxYDsuPoxIYQX
aKVvfBKeU3+urZnvReShOEUGysjLSe/SqLXf+a3pUg+5RG+bEqs8q3WfuE3y6QsjO2mFbdVzOTlb
xl68F41/GNNhCBhDUw4WAOnQApXHxpYpW7/UYd7m5qVgmrcDp7mwxtvHVvwi6AxAmEvf90X1HsGT
ImkeQEwsT26cqzPCqoWkIC87M7Zetk7RR1+q1V/eB8zujOcL8TTHWtNzdjgLE0D4TtunX1HEQKx0
Or0jscB7b2LTPKYJWsTMjjluE8Rdbp6Ec27HD3R2ekSMQ303xYs8A5+Qd5ENliSJRvPFQo35WKS9
fcRwoO4cPx62pp/BFysV/9b541V72Q+QxdkLul4zSJGRHFiiWz1031QJNrIquC9uvPa2u+DrFvmm
wPy8XT13OXaOvbVpvzfDvTSRQXZuReQGY8OYjjDJDY0bbY1BeRdbu/VTv6byh0x1+Y5JTUIvcd6w
zciwTkCdVagu93IaW3/Trz1QIod2qeG45Qn/jcse5rQ7GOp2mJoZclaElc+GRDt4y63zyeFoZHLE
jdzszAXBUiF0fUNssvCjviXldK5c55gR7HWEXPRFOb33ACEUr/hsGI+VnxWXNdU/kIdibM5bmxtw
QRhj1Q7XGzPJ65xflWpPJLvED4TDuCFw5jyMpyQ7jjbPOfZSwr3tZdrQjrp0cbMd4yjgohbt2qic
GhoEIBJGA53KJPyB/OEufqXEdAlqLlIBTAHN1cbDyH7Fahy9ea0nnsqyNy9WPzUnG/3fZZ7nDgxo
apK+qpPkZQKp9mCYjvxpz6b/XRHUCY0ozbYQYM2LiJQRtm4FtjDl0reLZGZDqJnt5dPyiZAsx24x
0H/W1bb1veqpqYjLSnSGsw0xJ7Yh22jOcaJGzNwN+FhPpOIV7bQOsoR0nLCWnNcj7R8GM8Th7h1I
QByVg45enEYMfPkF0u1uKuMbqhJcTAfDs9loDO6btLOKt1r68zuSz4IkDsYW+DYS+uTbDOIwQqE6
8695kpNqDP0wtCmGZjYbQ37EmiPIa6Liw7Ugc/vSIAUuh+WJSKD0Lz5EAH55oh5K7jOZfaPxaaY1
hCfdg7Blf+zbrrlvlqS7ZGP2hBrpG5ClL0PpDLskWaxTS+YLZM71fVhRSXSIeoIlydsDMLt6a+ER
IkKd48a0buHgfrvqW4toDqvS1WFTqOHOslskR9GQ7Dw7i04l06h405bRfBwTsE2oI8AC+oiTyT8W
KB4guC9VdjbmtHmrQB4N0Y/V8Z7UZL20avwUYKGg93yVefeekGJxKGOjfNS3DOXOrLzAMUvvrhhV
3odFnZZhbQroTfW6+ldCXlu0xbBPysIYBK0oi3uSktXFl23/bHRAHUWtEP07jTVc8ypF+dW5Un7O
U4W/i19heNCRjB8Lf36O5tI+oNWoPmZcVGReozg+0FqafuIx6p/X8hb9NtcIWprGO1TGEquN5Nj7
MQx4yJoSZ1PsQIGKKrvZ8ybfQnzbGklPNh1G5lkfVd0Tri0GtXXruMKJ5J/AGTWwPWi4bIQP6H3s
0uboyWp6QzTDoaPUCCmKmFziieuVmtVMe0IBIzf9xf9TbQuoHKBHFgM+F9eYxAnWtTNO+aQychHi
7t5DopBsHVqt25ao2juQEwYcYrf2dkjFvD30wZ4t16ntQEDe2FUdCGxj9m5hNzQNXxHY1ESteuaZ
FkW9b5Xl83IPPmgpAB1OtD6SNhmMfln96Gk67ma7Nz95h63tQmjfIR/U+gD0dtiS0VxwDYaDfwTb
YVzMxI4Y881tfiF/MbpvuXxsJVghoEdFvR8iBd+C8fu5jNUraXInXNj1t3WI0z0Ux+TZGY36eZW2
EQxNvzwCXKgo6nz30fct82siC/9pyC3rYnkm8ys0Qt9vW+FXYGHJ8zCVmgQZkSPMyggIbTLDf/XW
vn8BK5v74dCnOMlEcYUiM79OcF6zMIWOshO6q75OS6X5DEl+SGK13pFDC+x1jfXj2M71CcmrfYSU
S7alKGsmZ1b8JW2GCHUioJUGjel5chU6RS5sX0qfmNgN4dTFnjsP+Tx6dAzEu7N/0JhF8b9hMbyn
Mzi+5Q6dwdlYylNNAJKPA2DqHiFMebRT1paURe5rZ7fo3Z+TIEsAjAmAckj+zaNWGUY1sAOWdZQe
9XFSUE0e8pam7KZKp+LmAawOSTVlX7qubD905phia5sMDjakWpuIlOIpex1QV4SWWsTWKY22gzZT
UtgQwWDe6WRMroZrVlsh6+YwRtjwDFtAPFiS9oFjMttBeCnIBMINgIdDLW+GqKAEpUaBbklJeNgr
QDtd9QAs50cyUj0W/5gPh4aPYGwa1VS/+E/HDSZm/+02XxQCAN/QN9h3rOSTkaDi9NqMW0hk5U6g
Edq+EjNLw9RERYtcL9XfC6jb23EdrXsxlnDeAJJRSSHS/pRJlH1U0qjabSRkPwY1oXvpE9qFnvhL
m8suIGyoKrXTsTPEyxMflBZ6084Qi0zMUxzqy3723PKQ24Zpv5VR1P0iZJloJIvOYXWynNJ1AgoD
OZ39JXUJL4+ER8LKAvkp5CZtGPeIAXt1Fujfbvph+T6Uc3lApmk/FavtH1IjRZRWjnWPp8Ellpm3
XTZqS505ITqeNFvBug6Ij/LUT3aASJuwryEnkZymSN/s2sW6o72HMdJNJYMqBZdvAwcLJR8Ok0tu
+91rOsoM7yXq/0l71GmGmn+tJG1CSrOc6QQ2pvwmRXNT3APcC8iIZvs3p9G+K71y/QJqoPuV0Ae6
mKs0fvDRoVVHyII3Kmr6E0ch2wDfjVNtlwEtxlWqeLl2tQuHXJGYsBslURp0w2L287EsJuLQYcvq
qG7u09E3r7Ups6+UlpSL3qTVtyxrc7rrbNxfNFCKfKvs6Zz1iUKRNxlAXvzJbT467UPdRa/+zkiJ
92oEmWwSXfBcMae/i1oZ54SO29+KWz7phOXW6R2GJ/Qz9zDeT3k+ETmLXpb7DHltT/CWipd5mMlk
N5v43CRK3KOSMGh8tEPrbXAmdbsFJ+sRv7e1bYy07RF71+0XGxfMIeP4egP1i09DqcTN+CSwFds1
yz9rrkvkUNX9gVc1RiU+iIemywwXEXoP72i2jMgI+rmPqmCel6gLJbnkgTOP6wXXFoUB1fA3S2p1
pLsan61x/tmJ8WfbGa8mJcCmgOh2tAX+OFVDuHEA4xBXUQ1vLeT1k/Ib/y5DYPxz9Mo43ax1ulzp
bHEylFysQexa3rDRDvFaTZt2wTo3xs/On9ADMlv71Vly6r7ffgRWHTzl/tOcOAkp3tYIOHYdU0p7
l3HmsjHhtm8aMZJKHfHhanDCulzfZAs1LYAG9i1F6pgHo8IbMUfew5j08tKzB0s+VhSi5+zo6OT2
cB57vR7bycE1DNbN5G9xN5aBrITCJIdpvgD+ZYuYw3bBOzPQh4v3fnmzXanpHtmw/d7x0U+KY3hD
f7EnCZUuJN0l+43TKXDwaa+bLFrk1RDzFHCXQZ9e5LDGxUoMRKnPPrpxCGS6+QFwi3ZbCf8laqh1
jRmhhq2nHmNUtXhBrQbeA0PIY8eVNt6guramTT9zJPe5NSOoWI19bXZ/4CbJo4gHq7kimql2ptN6
R4I2YnPDTieeG9W632llZAAfM4X10AC6vYruqYza5EFY9AV9A1K/5w72JYqGoM9Yh6Q21ySAK3Jf
+Mb7KcAbydBVTazYBGj16L9Phu29JavrnvKlbYJcrYLWbDmHkrP3NGTkn6hxcEPFdeV9FC5Aeoxc
AZeDZmvNRHWnIw5xB3ToZSZ43KGXQMyxb0N52hC5nDx6C1Uxks7x3Hp++j1uCaFtCLkIbMkYDUpN
9QqDOH8B+rE+GUbsvTGvrymJ0giCvTNoe6tisw4KNxM2cp6eGCojJV2+KaznfiGY1VpgxVMCgZxa
yVlpbKBq7S1W4WYNqQKHVI+N78xlup+4S2LTqpHIp+iLAkxT5CyQHhBz3VrGr2yjGJlccNb+zof5
tGJKwX/EFFqtwdLpptx1qTc8ETVkHgqu9zW7qdIY6GcLGrIvJ+MxLZbsqus6OildIqKu2yKcJune
zeDQD1Muqp3SaxbKsaMG6go3bKOseUjn+qErbftVzNGmaq2vae1++qR/AHR05xtyftRoiZECh1Xr
BuSvXMATykMcJ+ZTA+A10JWtTiXB2Ze0y18qkv6QSo8J8m1LPHut47wQjRUdMRIB7NbjM+hIENqR
Oz1hdzAPQyHz68xJWg1lte3iDCiascbP7lqW+65HamSVdJlp6NoXEmrxDJBpshu6mrDgiT1ftebZ
JENkP0flcSxabz8gIg6zpP/VU638IIcVX5gxB8NCntJMLixGmIaYraY8mlZdbDUGyb2XdPSGIkTr
rHA73q72mrzg79utzGNtXJ7HW+TdFizcd6cr13M8Tfa9Gnrcam2OVGhjsJNW9J+QU8MmrHOTwCSA
i2pryXstNaVYnzdj0EoSlzOkz2DcGS03W1MXZwX9cW3AWGfVdUyN4aP05Y9BGfF+MGZBjDQWyV4V
7uNgtkHduXfW2h8MIPqbuo+dc6uTe3q/9S24iAyw7LE2pPktadaJrYly2JrAEfjzuJxpgL3mBCPH
jekFDB6g4uOMjUfoTTaelrgi97Nv5+KH3UcpoRrt13WN78g+EegI07omMsgi/4PZPpmoniF3jaQE
WmV69Kyla7Dn6pKYj4pJFlcP7ywR8wXtSoHsFgt0XlvegorKjCYl5QQ85/lrBd8JU0lOwEbtUrQP
M2yHuQtNL85H/EPyW11WzrOr4wrOamIl7WYyMHc6S9YfimXB8ElVkZykkebuHjuJ/GhHYcSfxNXn
vJ5t41L3+uLFdjy8Q9NIty1fxm3Oe9sEtzyMVanF3zGgoJXRYoiODCd61o2NtWjwCWH2FNlm0g7h
PVgnLS0MHtWIkv4wemv6GXkRp6KXsaRawhqzFyNdM0aOArnfZ5xGbMQCd31gkm8Rnd2U+iQgEg8H
sk/a46Mfe9I+Ms5GAgjw97bBpdldQfxDsOYk78B8pCfqkkUwxJyHrskIgf3Ux7OVt+lTNo3589A7
7LbsG9XezkhzIl+mkuhAUtf7aEgR+1xqS/7IPcLEW8cfSuLhuTcTN0r6QT0XuxWfIFEUi+hh6XPc
FyZfNcXgSLWIs8R4VEb7TqO43WbW1DLC7L2T50p6+Oj8kdFj2FwJETNr7H+Nvrcz69iVzWdiEnHN
nOtecr7HdXVvGzE5673x7IhpITEqruJHyYXkwopLPiKdaSpivZm62LzzFox1ch7CeCHWrRh1ynRp
QUef+fux9L+O8fgk9fyOXHFGARhxzchWWx9n/AWxivs9Vu766ts21t+WhV6mNBtjVMKIbMTwxNkN
i0XldMmyoim3lAFUqj0h9PGmWMfy5zrKImgduwu49hxJsUGF60XUTA7JKhU6liho/G56JqG7f42H
BmZlatOkLqS+ZggYAGRd4CsCG5w9EQqV0KTo4Nu9Uy+AqEeVpuFgQqMca7v/moqsI9oUtO557TsT
5ikmdC6+KWNh3XPolkPMlpcEin7BksX+YTHFEJK5aVvsP2V9NYtKPms8Hly06J+mJl41/IAf5GOJ
/XIzNtBbnS9pLVtgmPP6vnhUbTBTkEh6BEC46b3blu/TJOxH0qKjeNf19vK1MdP8MHA7vjh+774v
esWeohnrcSVaZUCUmG9e5sIwsYJ4PAb0YIBN4W9G9zatoe/UplQhaxZd0xEQItnXyHwwfya3UDMp
ildKuDQEUrfPFwKNSmGeSZ5nXtCN+WvZ60M7NNNOltNb3xEH19XxKwPkfSOUdyiYJW2HlbgVc8F7
FMpW0uPOjHs7ZqTIvpK+9nBZUYw0VCYjCw2lqNn+qtb02mjvZnRZ9p7VhtVUYJeBtYqziciDVaV0
4JNmm1gQTTuUNsMGFFG885fSosZHDeOGmJC+WYMlm/0AqPpQUn++m5Bbd47r6KPMLP0DQ5GJDspi
gUwQNNNNqf3xuZDCmgMterisETn3/rp6d16iyldrdvGmAF8YIVs7YBGqCRsc0XTxY6Lza++h/+7A
r5yYnDBysMoC7JpflGFrDje7bTmtT+ucViDTxUQ4TKKsA4ZSjJqwixkn4O5+z9gVv6+iFUGFuObZ
BTBHn3hu0rNcHbYw6UHezRmbjVZEIVdbxrlIrYaSCVTzsbVGB9yznPLrxD3mNC7RLbu2w+O9SZJ5
6TZrUfOy96YFrr3nkQeGNbwRh5VQf6xqm7ojfEslMq511tH1Go7BKZF72XGDwvbUWxcqOBIMW6aK
pHzp9RE3Z5elxs8aV1HQerjh89uNd1qt9Am9Xn0l0HlAJl1kD9m6ugdeJfsBb9L65iSWt8XCJkOI
HxX1nuw31tpZgcxrTGxZxr5VWfkdOieHaxmBNVGkJ+JI+X7gRqjdwC69d1Fhb0iev03GdCS+FLQb
ThFToLAhXxl/l+0+DRi8MCPW8jsJBaTW0dXj8MizmQRGRxqbBNpvUCREW9NDsskvEQQD50b/3qaJ
fBasz8ekESyl2IaO5az1k0SqhYeI0B1OHrzgbLI0qABQmXgu6abkSxqqXJbPKVif/dC5/RcdsdfV
JsFT+6lC2bZZzIxPXBpDAlWpIuqzib2+w0ybfHfQ0X5ILOP3i4VzjXGiEVgIFeHn2zJQnj8Glhm7
PKmiDrLKXs6JAReWXXzk25lqrT6Nyfio1PIzHgG2St9+YEHRraebRCBcnz0khiiHcMjIHQknJynn
q78yusaMNnXDvmbzTIKk7cYDy1pzfbRpmU6lSo7ixpP1tNktt4NoNMPaL5YZv5nnIRlY/btqFNFB
emX73YqJHKPnHnl2f6+NkjgUc/aCPDdIyeunDPlM0qfRY0yz6JnVlX7Jq0a8T5aNIRGT+jY2ZLyL
6mi9d6u6gLhCnt4mWgiw6QthvqO67F/z1aIxpUroI9kq1DFpLR0gG4sJ2VvJaovMfOu76/KsyYS/
qzBT7jgtiq3rEVFVzWZDPWqOFuMX8UeVPASzXekzIN4Ckhd8QbnE4mj0PrZUzhA7WAtIWZ0zrlca
LT3Isdz4zOPYfbM7LtoVRdKhM5KOPqyX7Oc0S3eid7eFNQ8/DPwix3SyIgHPeiLYPBHpHe7M+YEV
WXCldtoPHJDZd9vHK98m8foMinXEsUq908BTb24KhpCu8QZ9I//M6ZK8kAvkDwHDDTWTadN3z2Iu
u6uT11peTbD1p34RWOCkMQ1bSa110GnCBH3NzYfFThSVpFuKgy+SYtu4PRoV0dDV8zPvJRpt65o0
NRcR4dG0KayJ95lXr4k7hphqLV6TtkRCYiChWrv6YtTGq1cZP22knS9lY+gnsOzRDsRwervVIv93
0vTNhGRNfELsvdhzPj7hX6zDLCNiTRSk8WbDe1673YMU9vxuREm/zRCinO0aFhgemuGdbeXdzQv7
shi3+8FU5lc7d6xzVXTmvogT4lrxWAeRHPMf0KW7nZ6IrmzLMaVUMdkdEFgdqA3TONCN1ScwMx15
LLxO78dWrR8lBiTYI8tqfS9tg/tY15jE23BPPmepjMMKtxjOnqoMO/eP9HLQHRh9kEZUwG9IIm+O
ZePS93H7fWt7w6mZohqujxDv0i9A+Ct+KxxNaSkeabam53HF207PNuNv9eZd3Zj5MR4K+6HxdLct
sabhzK3UeRC0NLLqF5aPnTtzZhTYffdco+GjL7ajMRsmtzS8rDoQ1EHBquIPlSQ/UCn9VHRbMV7B
PovEbiarPtCgJfaNrn/mbl7fmHcY2NtiU95c1PnihEk53sVtfDd55AUObDtEPoZzwWDIEAuBlDGe
0B5fqXDIY/DEsRib56UTBxRDgWeOyWHJqiLADI0CgalQDyeZQZaCVNaUnbkhD+GwmvpU2A7m/uXO
0XS/F+EyEeKvPHRqznZOH6NHblYof0z3s69es7TwEePsorw0fwbP477IioqxXrEIuWUt9v++1ib3
Rkb3W1zj8aeRJM6FEtgkmzPO91WXdq9/iPP+r+2Y/49YoLAXb7k5/7PN8svPrv+3zU/cU8Wf3SD/
+f/9zQviw+p0sSQ4pufdaGf/jf5UOCphpBOe5gubIPMby/W/vCAevFDTwxvHuM5Ct84f/VdQkCD4
3BQWGmwPOaTn/EvB5/8gN/TxwKNwtCU7lwdF7e/lhlCwYl0oNPhtMuQ7EkS4UuHtC1Eekn9TLX+z
7H7/n8CW4qbQ/LMO3/WVw42NzAieiM8H+fufl1lkv+JL8fYiJ48HT1r20+GNfRwFlBaG7FNYAuDQ
NyqgyTVtGRU7WyKHt7WN8LiPlv2KZ0yNfyW8vMkqf/+9LGUiqJaInKX3m9fB7zrwYksJu94qvvbU
zaGY8NJ5qzxYvXPy/ZV9vrDbXZQWc5gs0K4G81/UWN+eDUFNlokvDvS3/O13yJV2IbUPat+kEOWj
vKNFJtL65U8r9OFvn+nPCNZ/8o07DgYjTBC+h/759ud/Mp14POQsWTNFUKk8yHxCHOGlBxjcDOun
bvqLB8s6/f25Siy8sFURszospL//aa3VCnPOlL+Hf+fusOFBjRsa6y9+yu+6YJ4cVibk3OCXWcPW
b6uKrBWhJxl5e+A5fAxcNcgshqexTP9Fzf0fP8ghogu5tsRs9NsPksbKE70t3yg1kaIa2S8YF8ig
7eqBKPW/kG7/k28KUuANAWw7+IZ/5/LOgwNirHO8PXMJM0BU6WyS0cpDmgIF+aLu4X9fGNbtu/jt
HfBvWngbob/LPvXbd5UK5aytF5P+aeArbsfa58yLzKeC9N1jXSZkGlTa3SX9ZB1AGd2ya8voG5ig
CoLhrJ+yHKEyxfoY2rnL1c6UmjG9rYpQynV96K2mbEKVVL4+DkxjA7ssGT21zZoQXzXpCTHWKsJB
MhEC9OM+tmXZPv7vn1H8k/eckDUXBpLJXvwP63GCEDWR2YpotEqsYyYNdVxGaTJak6/GAh0Xggdh
hfEvz6ayJhHEepliR/3Fo/5n69Vn5wbX68GsdH570kxlnUpGhb8vCqJi0LBdK2h6G2Em7r+omL9R
nTl4kBbZSvKsf/tJSYOQ0s98jDlwOoJ5UMgH6xIQIYqEv3i0rv2PC9ZHdCtu4ADMQX/78z9tLboU
tuFZnbcn9s3a5tCF4D9Z84NluvOTa7AQLE06RQ4KA2oYuaK9MgnddisIGNS608FnhrpfPM8fNt0g
3eeB4eunHLU6TG4GSdfWw/Lsd71z1/djfQZJk+6rlhhcJmdEAO8KyOmBHgSFT0lSkukv6tAkjrsD
LrjsEQYRktMy97FlC+BFg4cXGxkTerGfeqqlGM3KZUgyiTZXANPoko48mnG2wtGjBo1gVH4CzSiP
zuhPW7NAaEOQNlHfo/aOue69d2YHzj2e3pQIaKfDzkQECXHD7gm7eXQRGW6KHFxawTTsFizeBl0p
EEXMQ/PiIFR+t4aq+WScozZxoiugOpCvAmwolMPVuNwSqItDavbZs2E2+l6ZJWyT2WuYl6PQRk4y
2fq9mcfoQh8geksg49OF1Oq7O3Uzjh3T/siN7EtVWAzbcpiIDIZb8DCtffXKJNRmerAdozxQuiIB
Ix/MeoLlTYmPRkvdNI3d/TrSEo17JHqdbnOgOX0TqJFJKIFMdMhu9duJVAVANexSy50/+HyZaT7c
imwrGjz8mDpFQjCNP7ky8UwmG8knSeqIPAdx1T1wtY20rQG7udN9EV01vgFOJ96olA3hTBGpOm9c
2xYKORBfr6ooHQZQWPsnrem8uNK506NbbmttRtBNY0UyoF45+oEgCyZmwKprkgNoKhysmEZYpfi+
rW7k8ZERKD8jOmxhzHfLJjQKKHaNlB9JYyHs9C3nw060OW4UFKP7MdZEPKPK4OeowUT8yuaB5LV1
FsCQOaS2N7pEffFm2wXOc2QX37XM+AxeJFnx/ph1EOy4CEFNm2jjccU5laSnFMLxfq2xvaAHwuIQ
h2aPNmivrAZ1QpaD37PyEvyUS3pdmBbYdiKXOWgSgW2xVi44G/aD8ptrS5pmFA5AgpxWH1u/xBQS
oyEZI3O+AGegBcZo29/XtbG2gZmXZaiq6JoPc3yQdk0raa4Ev28ytTbNLgUPB8m+i6/DYHpwR5N9
N4xCn5A3tOe4r8pnuOJwgNJlR3JQghoVjFwKKnbX8bsdSPuiOal7/6CkWfL9zmUYuzPro1hpJm6S
YnB3ZD6Jt9FW8EgX/bMWRBmnA8CkNtFAziIfBSXJ0fpoCGwKLgFCQW6NpJeLVU57mj9OqIucp0/x
c1ED00/6fckxqcBeZqT9bOwuLT8J4ACtRyjhQdlt9IP+towIfJumxzEzm7DgK36mWWMe6OgV22kZ
k70xcwpzFW2/Q5ztH9FULgd/Msp92yFgA4Mlbu5mY1NaYO5GLojzKpwzM8QMqdcwIWrKnM3YnGLS
vc9drcghKle0dF0XK4KFotd4GZ2zbkV8j4bOOrdt738C9LAJe5ewJePYZoQXtQO38jY6WCZQ8aTs
U3QxKa8CQ7hTmosxdBsuxwC6EryTJB8pmjsKi2bAqbdspmEYYBWt1QXLi0L97ExrWKMIB9LTZkzH
jSILnCGr4b9x8bbleu1sjZA189ZnS3vdpYGN+W1O2XFNGFOgEUS61zqfH7qxnqCYGNFNvgwTLF/9
V1c763ZuF4PsQ2+9xH72PoDf39fYUwIcdV0Quw9RUT6ZANqOZVK6R/I7cuQ6WRiv47gvGC7uatud
flZT1VubvIE9xbtmiPfZ1/bFKbrLFCVdqADkBjPKtMByFoEGzXZiyv4Eu0Ph5aEs6mlXOz7uJ9FT
UAiUqSvKiiccClW6ax3wG8jGANtWxi/a20xsPfnCJWndY2OiK1/zKrvC3Avh4recanFh0P7YpO2d
naEa84TRBCs7+J5Yw09R1y3MS4w8MILTG8RGOyAnO/DRSbo629lCPGMPk33V0xA9VSbB8V4U01VR
zsWpR7iQymBQY7vg/6ZBf438SAVMmurAXdYHFy3LLpuY7WzceXLfKy+Ztwj6lp2nI9KWFLEBKVN9
Y+JatVTNK/ey+dGiA3yAQBHtWyRusKlaZh10gTZCG/5zwuf9aP1pxOcwF4jZChcKFNu5zmam5EPt
hZ6uIyIJlzYf0WvyRJjMrd5DAR+UsFc2ry8jfdJvlmEhp9Ke3w7HOFtmRV4D6Vp9t/5arLRiPOsC
vPaGT1g09ZG/DvuVwqwE6BIkLmC+sFuKJ/b+0GTzufIS6v0KEzmwbD//wBOoTxaKXZzPK1asZUKp
T6trl5LXtxGu4jWe2nO7RjNST+dttFIzjH3j1UbZFtgc8g+uAe+tW6MMWU0iKhJv3YmVm3eYsTxH
P1uu+eylJHfXyCA3fr+ah77LsxNjA7S4eoBpTHuJXX6o9N6VLIpRW9Y+rgsXzIcwSDmnqzM1FiED
BDM9DA1yrYoI0I9aOd1WI6OKjCU7k/FmbObOr39xIKXbjOnOYXXN8TVmjM1kbJbTz7ZYpQMCkRZb
1nYrqAafzl4hSSgwVH1QBZaFKe1+1WBvT/MUiWdb+HrXmjfMP2nSyyoZfvn2TBiBMMY3Ut3jX+Aw
saLw3dxrtZioazWNSUZCT6ssGKeV0Y/W18NVVEa8I0ixOrnYcuEMZUN+mEdz3iO+ps3JHHTbl+aj
ZigcQJMk2U6N824Fd8Jok6HpiSGtSbfMMnfCHnqUWhkpaHOaE5OZ4mvqwXpPwZwzJh5kVH+3Zqs4
3yYd/a7qeSK+mxX7CJj60UlqhVzcPefO8L6gKr2QrHOdi7r7IctmuGMI3oS3ZPeA2vAKh7Tb+hHh
zjba5j2clfFYkiic18ZbhZEz3wxrE291FVWnOiqzbdLMcRgPbvk6M6S9+t5U76GLz4cZGVS1lO2r
g6BtUzGowucztj90Na2c3FwKMOnX2FmGeAqhbQ7cYt346jUMjMVYoSY3G3Rq5BznmCAL+IFyGB/m
pP3SoJVACzvcJdZYBIhStjXS+3BFe7EtBqRZ9Qwnd4TXOhKQGxQWc/C18S7WynzkJoZ45GLPdDPO
onBZowYtEegDMETVG9o4gtu8ajvm5vfKTQ/DBBq2GEhKQDxiHeyaGDolxv9g78x2JEfOLP0qA92z
YNyMJDC6caevER6LZ+w3RGzJnTSSxvXp5/Mq9UhKqaVuYG4G6AsJKFRlxuJc7P/POd/hLUzt+l6n
7rIrMOr1gQdp2yXeI2fopbhM/SMxxCy0gC/u7eJhIPwUNsAhQ0ao8JLs3HGUx18YBzHOmyzaJQP8
N5uvj/3dpfvNjV68UsK+FtzNIxn6JVv2WjWPs4Zs3Q3zURv9k59Zw12ClsGv9jUAuMtp0yDeUD9Z
dn6qUvkjHnhDsSW+BVryHeeE6YkpNCnmPZHGD1r2CZqlOipITqlrngzQHWvCu9110RrXLVcQhO4g
30Wj7X/Wk5dtY4u+WeTrygdCYpMNe17sL1ZxxdYnLrk2R6o1CBYUq97FE+KXXfrQ17j7dFc9Utr+
hNeU/zXvuYrepho51yxeSZjrq650WgiDbYY9MHlMgDtjBnvAff4KgvWgNIlPUlA3tsz53i1wrFIN
46YfZkjDgG7x6fUZmi37iwSFpKqoZEUeOWfcVQf86R+sHQ6STLbhY9g2LonfZkB/zJJoL01ruK2C
2L2lCqT71kURsDRzD3lklEcAuXI7ROOyK8foIyc3s5aM+w+alk6expHgljVc+ZmgeWzLzqEVpHS3
bSCK45wXNMBEIw2PySSbDcEmb50QfEByJofmmyzdg6o6WReAOllXzioqChjuRwdTPCNCN6Y5U73B
GYYfOLMywPkXigLFEBXl4nzezK2odYb3A7Xq1rFHkEtW+zaUC+I+5/xKcvosc6tfkfRbmYqkTWMH
52SxTwQunvG4wVyPnBVhin4dG0oAzCjaQ5Isipd+9Sjojl236PkW9sOXzERlMb1MrdL6wzOcZ9hv
mu5w3tmz6vjQ2vxJWXZ/N9OBSC6WlOHsusUegoO5dxb8sCoCv6WaLntPhx4HG6ohj5Q6O3qgPcle
04yDDZuzrde+VWY/7Bwp+UkJkmILGW5dE9NyUtp4Km1wat6c2LdpPXG6k3axnYWot0YwadhS4lQx
s2wz5p8ji3wOR7Jeu1Z712I3W+F0bl4SBci4In2yY8Xyo+njehupZu0O8Q3kDX3bNcRiJ54dGwf2
2qkGEcuh/+L1S01Y9YslKvxAU76FcdZw+seQm1MkDqtXbCGqiw2eXOjao5wesF0yulSKsyRRkG1c
e/XnxA91JLyETjnxkVpmr/ZWYvQ73rcC90IiDjFxySMlT9W8ZBvkS+sk5qbYxF2fYbD2nSeSr/KJ
/ujvaDKt0LKqYZcUtnguhgKrGgj5H0oN7cfItX2nW1+e5tRW68y2jZ3SCcjPcgI6T/roxu0vNeWs
cUIvSbyVaFI87SOneaIQZuc9ipoO7T5GZBJmymXYseNbF3ZXCuyeqscNRFf0JABkNhwVYzZen1Gc
VJu0MWdEYI5CmhF5F2T0bE5zxlkJmvueHlI3zCocoiRI59d+mUMGJpRObt+twMVziByCSWPmjmFb
xtNdimOb02KujkSKhrDq5H3CImo9lHziC53Ae1otEKfYpeTIeqjQVpeenKltD5koNlUwTtuAG51Z
qmyvalAOG+KJnCtduzyRCuaAWwE+cnMTs/hC9Y5asDP0kyV3SN7uFV8HQ0qaJ7vFtYZ9RDrmGPlB
xM6FEnTYaNMdA9iPsbPst7zKzLWc9NcU2OOLmcdvFRGuUzMlEa3DyxfjeHsOxgaOVEyn9RpXYLc1
c1D8hugeLct95suiL7fBIZG9s+kSjsOdM89rUtcuXhJ0KD6oNrmxhMFuqGo7m3oFwS6oNEy2jjSY
xz7G0IpU6Ba7AY4fhj7nuY9bM+QSVM/A3wA05DXe8arH9ZPUzFZzRlMuu4rqURljQLFDot6zPLHP
lBmLO6vBNZvMjIYruaQt2OLgo4G6d2YfB8vbsPEjAGlbjxAI1hoaJgum3rsmz99eVzUkdxkAZBwm
ytdVA2+qIQSwM9Am16oDEAg4Jz3OyUxxk9vW4NLNmtbaankbO0fs4yWeX7C9UlOCV58Nh/zwqFfh
cBDMawQC6ttLW90WNmJpPszptSQ2sab+Jjtw+d0DHVPEpqq42U+xnVzHQ5VBlq/TKxi1+H6NnI3q
VTH1Baa33h7u50w4X0OGX+RoLPkM6x480tqWi/diovvnG5xYk7tpidb8rLnIPGyoc6auk1jPD0uJ
nwGDg9FGG9+YNI1eSNovo3T7jTGPTHqLXh4EVV87NRS8HWcckqgmPzLZ88wM2vyzpCF+m/kmBvtp
ijeikjCSO+U+Rnl1levhxi/N9ghUnQhSzruDe7VYTlVbBpvMg2qycryl61dJBURJU+H5xBdqH8ui
ql/Aj9i3Zg3ZvdL5FnSvd+2Cbt4WoP95zPm6eqVuzj5qt7TAe3r1HDp1E+2BBA+PAI2XH3k0NA9p
bjsnUQYCxDkJU0GWjXx3xpad+uBib6qAel7tpT1xkgjpGR8Bz8RS8P41aho3V0uA1Sf2RmOTejWm
SkJlGGl0H20bL2aXPjc5tMycl8HK63v8S7LpCgqbR/UOCdhyL59J/uDx/LkhA9J/09xmgMlimIRc
QZXpNe/vJN+mVnuO3I6nV36mD4mk/5CQ+WZ/iXNexKfR7e8cCFuUjPL9dNFAPclg3LBwB7IZjbiy
Ih686Ahbwx1bDHmq2XngU1SKLb8njRMYRhfihSWwPgRNfnJjkkJ50z15TZolYZLbBgOCku+SUWof
DL61bttIb8aANlcCY/2ZkTLi/i8x1yWG3EyN4rvSycs48/az3H7aGGZO4wfZPSxOzqEip4FqPT5R
sbQnGDDu2NSaq8CPxB2V7t3GDjBmVL2Rr4sUOkWl0dLJZzZH20/PUmO2rYfhGDkC2xVXiwmTPyk3
bHX6k9dl1sdUY5QPy6ykC8imQWWnWzHgqBJKXzle2+88z6WFPm6F/yWzIdj1s6WeWX+oe6pm9Dke
ff3iB35GQQsJi4LV3dYcWu+Ws9y4xu7rb0vuvhDrzLdO4nYfLOZ062JvxV8VFNEHO1hO+OzL1VX1
e1eKwzNPrIbO87wtVFQjB5jWAJ3O60Drn5i0TWBqJqTlUI5QeGhdqkAbdLYKHnmX4tPFtcM2y517
xmAc6+1y0AFYDw7dAknVp5iJxqgSqkGePeYSJIlJ+8R1F2MwhgaN4hKlxtuMq3gqyEIW5O158o/d
2SXSuyuVKS7gBo+/mlhdGnds9FzPo/Al4CwLmmNqLJoHcx7TiSVWKD3TumrpTFfOcEvHU6i7rFuN
drZhAsJ9ShMO5sfHSk/BY0XOlNduDEmTvtiuDD1zeSGW9bx0FC+BrrK2yZCGBFUxhyjYAvWcpse4
ZieEoEMzdWo8EXRKwyBld8naPV+nyZIeibGFkKudra6ZuprYzfY+eZJtR3yQxUvS2gdOsDg20pYA
8FZo3oqr+vf+IBfGU7VufXD0TjdSeugbSb+sUFWMm7ojO7QVRskeh41G8sP2bPeKQ199sDJZb3Sa
qB9ymMk1elri28TQgUrNwoPY69Jb+q6zK8fkAWbLBzjf2ETzmCGyZVqpQxvq3dEAc6SxwM3TNvfJ
8dIt05Ie8+QLP9ey1TNduwgVbv1kL4O2LxNLcReJuGZxszT212w1HHoNZVCAG1SmRaSmUY8+kUx8
gMNlhZzbkf3ToXSPo5DvGyRcq4LXG/uSZ3fKvRc9J941ilR9KrAInBE+vYO0CFoIN45VKF0DxEZs
ONBQNTjb12H2aw4yRlkdBG84wbUtUtZpkqUdxnDurWyoqyY0TMf8JltiP/bcwk+RyNTP3KsApOig
g37SCAuJockEYNfAyb8awgCHaJqnPWSYFMOgG8U0/xgd751avgEH9m5dlRUfBSXRbEzj+Lafauel
N+yB6biPy/eM6PNRlQ7/XI1wJlaFwcBEYz1xpIAMCC5o11eYMB3zvVOxtR9BH2NrInJ2B4ufbYTf
dGTsF4fdbmJsrSTCpNUF+mddWfUTIlL0XMZl/Wpw728MqjnXGb/O/CA5Se7nKl2eo7lOXqrY4tbE
WaVfrdaQ72yBnbeio6FhgJqxjWyyME7HEX6xB29TcYkcleE4vFJqKlC8efppLT7pG/Y260qAN+g6
3ynXM/adJ8Mtk4M9ifnUjmPwmplWvhYeIUwx+7RvsmaW6Bha0V7RRu8UQxF/7ChEf/UrDRaZszaH
6qXAyMwBcIVbuUu28eA+8PKqvoeqr+9gCIgdYoNhr1y3jTcc82DZ58YbAWwBcRkbBbsbEYWDeWnO
iWmpwcdBgQyP/WZj16q8Qy7TTHkx+y43LTiUVFZ5MUWN+NTyufD55bgsIR2ro/lGj8XBGedLPi/R
R0IS6ivjkNYQfNY2+AETvM7K8tPigVwd3VQaH/mJB4avQiflk7MwQ9U7xuTJWg9WwxRdl25WwnIq
cs7Z0FY/zawd71lYj3eEPZsf7uDV327TF6dKUDq2kB//GTiuf4rIWlzHYCewmRLF++n2GluYlY+A
qYe6f72EI1+ytu28VWF7LamvtOmr9Tw6QIHnypZ7LtUgxJDtPHRuY5IPBO2RkgvvxNlotfMUkxL+
quL2ySQiToUZJ5JhVguJxyIG3GVDobpb+nF+L7uAGGPL7rS/pGN4wrB6X/adZq3nkngut4wB/JJ7
NXDAMKRaxDFLGqcME23CH2ynKL2ZJ+3SY4bqyjMirvytHSf6Ksl4f9Gd7ertuDRcOmVFsHRtYdrf
WbDQA+LFhjgNMBiQrareuhH9pZ7T03peu9KL3/tWReAw2u7FMWdIy6AAkgMJ4vqc8EFRp+F3zmOH
QDhvBCUpXxyNnAGEWDl/4tYcWa4UCgqr8qjYWaMYz9SSjCC/dpHJO3MFsgHwFNlD+dbXAckgxZEf
xLI9Pkp9ebMFcoT6ZLC1NyozoEJk/mjbfFmhHI/TitGa+4QzEj8BYoKJO5m2cnHZY0/oON4rhYTF
VxuPEStLTdGPnLGKmOa1q1lh8i5wWrmzMcgnoccG21qlbovgYfMvHkw9DJiiZ8esNiq+cLx606P7
y0lSVmedmX1GnVMcPCd1rXURa2GGnrigUoqo+Wxnb+at65i8/pFu5iscwAWVNCQWlgbVARGD4a2E
IJLv2yK3v7JCi6u5dcCcjct8CUiUZGdyShmLjCoXWSACcUlWBwqGEMoA3AR3MmCdiQbZ8zbpou5z
yZTJEc8y2ufMS8pwHDhN1In6aQ9mQPLJobgWt9XduNjAl/ixu+Pcdu1pnnsjRKtlxp/zLfUUxspA
7dsx29RJyNSsfjbQGGBiEG+9S3yX0p463VlxEz8kZWnD0emMaZ+VZjJs0e0hy3TOOyV+89mQmfNp
SFY7ZiWuZ8usv3rXzh5tLynEfhnrgOWv07wQWqmuKeAybwowYOfYsP6dEeNif/h7y0sgHFxQvLgB
pTnOxajxN46FJBcXb3/jX2Z6xFMm5jtP1sTUtEp5b3NUvSWklT2KYeBV+q8NE84/s0tgQUEFhZKM
8eYXM9FiGYAPABXtZhnr20Cqdj+0HSoCaPydDcoMwmHCqxXm2PA10v6F5tCXWxrhTJAX3WeuOtyo
fsmyk/wL3nkEpmqS9nbkGI/ebJl3VTxSpGuV0oN1XrrLvpVOfRydDGBslxKlHZAqXHaDNk6tYt2P
+cJzhRMw7/qCHDTIiF055RAxcAeF1L2Q72pxrorRJe59wUSNs3nXpPIzq2pnbXiD3jeX9GlWVx7h
z+RilZp8+9/86qx/tBEGATtbx7YpSEQM/sXEVnIp8etzOK3joWRuEHeOM831GgPtoTKxLI0z3gzc
47yV5n6+Sjt6soJiwyng4jEYLYh9ceCtabokQ96XcpNRmneAOJqs68m4mkTPvFvQPZraWbavstz7
N8aci5H010svcBG0nAvrG3/OxTn3N5ceBK5IDUEb7ESryNtWwbDAfliAJS+GPpvTIMOBl/Ma4Gpy
NIXov1G8+kNLD9Z+ZOHmmsTBrW6kkKXCt/Fvrs1/9s2BXua69Oif/9UkGLPDk6Ysg10OwvZSdBoH
1yKq2n/zZcxfIazYk/ggcTxyC/BoN3/5HBWCsdNFKtghf8K9HizP2BPg60NaG+SHxQDPMxJ0VkUX
dBj1gzynHEKh74xNfoVnJ7gF3ZVjm+FmUW5V3mq7J0yfR4uxcVLxoHTePf3rX80/EIF5XgvTdQXW
Scdn9/OLTbMp6KzA3UO+ryOrtIIaRO23YDmYRTnBMsaQpyAHi5wCigFgCU4Q130yFMlxdmYZYmaY
vwhQT9e/f1//r+3Xp/SzhZv7U//vy9/8WXM4Snnp/96Y/Nd/+v/IpI0aCi81gN/6n/u0H1qQMu37
33q0//rH/mLTtuiexndrCgzR+HA97lfcF/rPfwrM30yXC5TbgX/vmRcP3X/YtJ3feDhK7g/+CF6M
i6Wyq3ud/PlPlvVbAC2ZuxvhTYBw+G914mAx/fs70odghSeTv5BybFdC7//7xwXsB8BXjtnvnchB
fc1xQxijvy85uYFKml58iaVrmJKLwMSSb6n192RZz5nvv5ReIc5R4zcbtxm/NO7HVc5cADxP9qFh
mMjQtE7/yJXorlgHAblhfgyXgYEW/f9eKiMPR4sgQwX8ZMVQiMKZW6uOYDbRO/elDlSzlf18rh3x
XTKfmjOL0SJ2uzWkNWdFReOXE9s3rC2ot6yN5o0VbUyMbqBSap5RSN0L+6iOh7e0K/bGUl+3xYW5
pUccS6WM72KDZjDaXIyNoGKGzHJG8SkG5ysNkJXZScnrpCJbu1Ie8UKaYuenKIgfCIW+jwQec8Hb
bDWQZDkZrBk32TTRbVMTs6fLlLiU5fTncs52MP+cayXN6WDlLpF6hjlKeALU28ZM8Y14/TyNq8w1
KZvug5tujuXGJNlyz1lRMGEmm6Tp8t3ckY+ujKY6eVkdAL3oog+7ob9NAq04osGqsJUNo/oYYBts
yelRbSs/tJzf2ilIkM6wFKtx6NYWeLM1DWfqowdAf4rkIA4B2MZVSmosBMfqnBDze4Kn9Xdmsjwj
WOXdtrj4t2Ns02zCeIirtPaJ9njOJk/oPx0pHT025WSdKUr+UgqvCJnFBo5fn7/Y9fxCDpXjJsk9
DB68mMiokEnJ+42qORCTkcc3MRQ/Uzpp914dvAW6yEOWILBRdMEpbyQhtRlKcaw9Fr38V8UeLFly
lUKISaV8INuXYYcEFYAWkj502CXCHKVjA40iPmVNXJxHaDVrk7A92fIA5SQlRaaV8+gh9208hMoT
R49nrtfgexIVOESjKpGyarDTmuXfoLqHyIgeknnCqTJhVVq6p4z3WDgIFnxdhZFrMpzXgu33PtMd
7CI1bXLtsZfNbEol+1o/CfbqXKL+eZiDB0JmdxWx8BVKHBQ8HKWo18wuePhEsIPTF0enzLaalsWm
ZqkZXbTpGF7InSMntTGB1oXoisVtAAlvU4OPOpQpSqvkGqS8vGOBGTvpPs4RFgtQf20adLtFq1Mv
sog0ddHaV25VZ+cuc/ydhRkREnP3ZMbd9KMMyvgIQkvsgXFitHHkoykyi/ke+bLI6K/hoxo2+L9I
QuUZRqSgN6LXtlbDJsqt5jqFTXhc5pHcZDR4jg0HgNK/Pmq/6UKkhaoGliUJNN7I0pnuY8AAoaLu
aDPh1UIRl0fJ3vVWtKB3/MhdVpT/pfejiSI0K7+/FdlCEachl089g2zSJOclUSoWdBnjq1rM+yjX
U9gbLEVQZOqtFoFaiw5cwSDjJMQfwlCGrQ2/ZuJSmVzSy8B6XsgQ/13/PHeBfAQ64O2xsyBKCS9a
GwKRH25StksdYvGZ18xXjeemjwFFpNdx3Uh7lbiLBUbKNG6CskUXZ4x5lpX1LAj1bms5r+Iurvaq
m+6UZrc7wOY5pyM7VCPtsOLYg2SpPtXL0U8gL+Fc/kjdHjYecuKtR3qU7hA57jU8DIg+NBdCCc4p
kY3JWxTqxmj9K4R5K/SQE2IRYIeDxkm8lI5Zo7nCwkuJr8nhM+T4HYVqSLwrpygzxrRIXUemzm4T
zlMEafvrXqbDrnR081yJHlJ1XbY3upl7wGKtCPvUtCB1ItoP2ZI9DgHfxuV4fI6S5X7izBRafoWU
No/pQWX9Pe8h49DXUbMlkxB/4BZf9mZhPMRTI1Csq2lVExW/rXMoZYSlU7of8QJUVnpNAj0/NzGg
eBdqMitGp1+1pmdc1sfWyp78i1fFhK9BOyJJUtfoQ20QEY9Sn04pGjmvJwMAucHGAPBGQYmVZ/MU
Tt1vqt8wxcnCXAPSuS9B/cD3xvaajTZonY4KJqFsDOeg92wa5zdDz363jJCi6ip6Eg6Z2d+/B7AH
9iZOEQRrHVjP/sDdXLgWJu9oCU75hci6Rnt1LsVP8fhhxD0MEJxZ7YOl/J8u26oSDX6Vmnt/TMwN
hRe3KKXBahpQRsLMT8azNSb9FjojuFsjO3uTqU4eRThPii4YbKLuuAmW5IlWjx05VGRz3glE1Y3g
lVD4skV3/qonLigKeh5Yb9N6Os1jWBXiZgFoBd55Ztkrs0eAM9ahNwykzcsn7edztLXxa2NW4dGj
g+qrspaP3qvfBs8Cw2MsNqt+y0s27AqzlQv78ThF8V2aNO0JxyB18LZ1n5rSXs/R4IN7G6zQ76lv
hDYMuyrz7D2sg/YhRsMIly7G+6Z1uben+l0YPIVkmYeRFRGFdD/mitWq436VPUfjSF/cbLb79T/H
3f9KP5Vpkzv6V2fd/Xs7v1d/f9b948/8pZvK+80NmGHQtahzJATD4PnHQddzfnO4uy/TDadF0xF8
nb8cdG3xG6QDiTkXVcr+43T8Hwdd7zd5yTwRwGKCu5ybf58l4u/67o9NS/fLP/9tOM31fp0ICQdS
3UQCj0zTP5muctNKLG7ECsyc4d+SgRw9BLZLWH2BCxGTy35lh18ccJ0CCwkaagvcCSyxoJ5l3w5W
cMiwYfxAUeCRMXhZ8FRjZnmxxsq7WRbhPKZuhGkYIykoOjv7qFPDvunbeDpU/P9eli4lb4hHNDID
v3C+8mnBeNQ1ACwxClkPIHTgHafIHz+B+lgnDCnFg4XgHFK5ZR0v3e93XWPjeJox8upElodYsfAG
YZE9lb4L1s7weSapJDtlWblNZ80Eb0AygJxGr+pAp0WWacQ/L+G8kSOx2hl98ujM0dqN3YYRE1zq
TZDa1S7tqBNwprwIbYx5G9ufIC1oeHvDlOmbHvxfiHWYzBWCLohFDnKOo05AHI3jVAiHc2My3DjQ
MrYD1J0fgxb6BKppQXiX1U1jOR2aW2fyzGiGc1FR/jvoACJOAU0bJfIm6luAOs2EG2/qg1ezdcAC
GCTtY89yNobV5LcFoUlihsCtdKs43fR6eYc2x6YR0XlbF2QxrOQSM1+8Auusdo+tIyy8AepnVWmF
0VC3TYqGk4+vQk/xkx7i8WWmpu8hiProm/0EuWfHX9QA744SpfUMqjc9SNGDcE8hVV4oVWhBDi3b
8EEWb3rL5mZ0tnnkpHccjaJr3j/TVWBgo27V6OMRgGyYhjXRlXCG6A25ybDx56D6gHJT/VJd+0Nf
/jTnyd1Hg4kKKggq7FtYX9d2CbE0mtzmByDLInQaXusw0X7OU4YhJdH10WBFd8K0HIelUelngnw4
Pvygf/aGLH2i7zwOcW2dLZmpq2wYrZ+Qgt1VyZmOFUPf9Hjo4hlDt5V9JYn/5rpedFLtJb4yedEV
hRFu2I8VUQcchbQZRKxEKFr3lHtidZ2d8dKaYbp083FikXELCX1HxcLjlFTmxQoYD9f4mav3tuvZ
oEG43Mepn1y3s8rBxRQbK56iPf2HTJv2Ysv7MfDrW3T7Gd+onI6UmZKWsVvpb3K8By9wstOnWBX5
ocrH8Q0grXgfowG4Mw64EAnWvxrtpgvTgAyTdO/TyWzO9jCV66AvhvfMbpond7KTXVv39qsaVHxY
enRNcv4R8Mk6TUkBsGxO6Kpp1E3cMauvSBRTw5RAWVi8Vt26U9rdIRep5wgOZ4f3DteW1Vh4NARY
km1G4gh4+pyt6T83WTOXZkyzTWnfWrbLiDolEKMSUXYWuBlzfKJFzjuCm58RZoz6BIyNI63OrNt0
8buTqnpzoxPdHrvBa82V72Uw5aVS8pQDXeXQXdAgHzH3ffuswL97/PwnlNepDccSbhEGv6HYoJ1T
W1F1HabKUYrxMW0xwOxwuItiTZd77oUBLpSQsfVybrcz9wpPJOXafTW4J6vy8EVgotti0+Y5WHta
uKFyKt+/dEyqjbY9KBCLZ/g32jfhOcIEt19JLLLgJarD+J+7oJRXMz2qCH0FHg5sgiTZgXKOybXm
4PtiO0mMKIlmcT8ZQ/UFbk5OcB1j680BieWuKuyUrxO8aYfGjBxPjQfvhSKTwuq9V6iHGpcrWGjG
Ffrk88YcX9CEl+rITtyGtmrU88EYhVvtdImxY93TTv4R1xNFsNpV3kufuKW/CQofipWivYTZ9fLQ
HqOZB+MEZn1t6Gra9tYw9+iZgkhaZQXGq0ymgigJa16AOWY3EYWSmHn2aWopqIvCaG7GIiP1Qt0b
vXb06szLujPGrN3NjLOkFyy3/gEiCAv3iGZGTQcz7Idol4CJG+gSs+7gWvqHSoRx5bVLue1LpduN
1yfxvMqacv4h4hzHB/HS/hWPoqQJJQWGQz5ndNJN3gECy3sD57To3AgJq0BJjAkKDxTAUTgyZ4U8
mKYGT9LZ6fSzNWT1DFivA0VCeoIMjDtiDZma4pzmXvTcj0F3KgLnJ2DsFhp1cHamCSl3cdE6V/jo
5bbH/nTs8ee8zbS5AKNi1/rm/B5qi7ELHoSMAQYxw8tdbA7eOYL46N/FmIuZxZzSxCZEZcCWqCk/
QOtBCc6LQDtAUJmC6Lgvs0d4hdNVF80xB/IUDm1fOF2I2wSxcpTt+I1A0q/si6oJjZdaKWqS3ZOR
D4itmiYQHFhl7x4Mo+C+b7kRXpRbyIdZSzbBpUfrUGlWXIA1TVXsv6JoQE2Mzcee3vlTXrqIYLkh
snRTySp7cT2Ca4iufnmUDvDdcFkAoWAVCbojnXTNsy8zgoUpAiD0Pa8caVgL7KJbt6KjfafigzPs
AqorNke+Qfy2BQ4GlryrqcmWm8oYuGM0pXDPeDH7K56h5rsw9fw8Ct8/FBUOyFXkLRnPXtYR65G/
GnQhQdBXGmmX+26wgVsB3ges5rrGK+bE6cqaffFYIuN/m8PkEkGvgqd4meDYqqC4d+wp7sJxcgcU
YIygZA4juPARv1keuvo2ixwTDRbe5NMwODOH+NSu34y8VofAMp2Me1TZP9yUHMKKp6LxUTUszFY+
KDJMsfR3OLjAfY4KQa+Ld5wvi9oZwwB7GikywKia1m2zyyDLvOiy7X/UaOvfXgKR6Jk6K9BV7Tx6
58zOkvjSWMVvknmUUSWv87sgMUFv6Uha3dqJAUJHurTh7lOHyy4IkGHnj1HYjmloZkvxwWdFOneZ
fEXAUvMWGOAOOo65nPM2wV2X24zAq7gxuUFyevruDe9if7EaQzypDEbueukd73pIFgkkEkhWTAyi
DfprL7aQrPMePS6MEleDw8356iMSNXJmnkQvkZxIqgGppNAR3/gt1Hf11CNX3+sxDSAqp3zuWVt1
d2ZRLqdlutRcg53ozr1ZqPPogyhaaQgQW9maPnd8nJaHNJnldUYxbbN2eMNxZbiztzey3tyaNZbq
tT3kJIQWoTnRmkmy6sBV3UpcjCYQwcp6X9CgnwyQziUZqE7cyHbiN8Kk31wLMfEbUo5K9ybU3/c8
LexPVB++LfJ4+imA4cvvFzNsiMMm/vQ5z+5l0QdPKQrGLlkI1XaGtm5yeslPxexitaIFbNllGJr3
vGnhepXSLMHGZRd7XZ11wXWEqnk1ORp1f7E8DS2eFd4bkGCk56Lq7J+FCsrvqM/soxsZ8QdgRxzB
cQc1y5rsmwT3+WEGGjj/oRv+j0byMKvvP//p/atMqzBl9k8/9d+JHY6wUZf/c4FkT+j1M3kv/tdd
+/713SX/5A//ZXoMfkPKAAQKQeECtZHMb3+ZHl3mSsZJHti2Y3pIIn+dHu3fLBdMlfBYBVoWc+T/
lUkYLG3Pw6wKMwfqyuVf/TIu/qvx0foHBAFSEPXIwnXMwLLhzPwik1h4hTjCa39XYZ6lpKCDxdkF
GDyVMTefXJE8rkRCmrNx/Z00xhKjd6RDb8yig8VS/ovXeLXnpWOFtaVve7arO6fU2VvR5t62pmnM
Qi3Jm89GC7UKOlqmWKbFNwbJ77N/MY3VfRUnrO50+0XEFQZ+0nlnUhrpuEmEcj4jQntkVRyZbAej
3M5Bf0ozp7hC7gZ+MUp9aJb4ICWRJ3BlYpuq4JYYeLNXlPm8SPSIr9yQlILTXkKY04j6rV1RAYkl
pJi+4tSJ3ojT9ccF92voYt3fASRL9q4TzLuZuMeumxpwpVZxAn3r39pFNG5mK6vpm8OswjLpArrH
pp6ySLsbcdOC+50SevhsOe+ioiKDvkSpehxwvX6nSP8niNY2DUv9w9KJ4NlaOv/O9kCi4/cdUn6r
dcSzPK3h7lL7QnkjgV1eLDNZmJ0/g8zTtZW/INALPL1UGVe59YkFhuo62m2u/w9357EkOZIm6VeZ
F0ALYGZgV4dz9/Dw4OQCCZIBzjmefj9k98xm9c5sy4jMZfdSIlVZmRnhARj5VfVTHF5c42yHqDxO
jYOcGhusAin3VZDY0Wdoj9oLbjvnVEWNOgcOWgsABAJxY2NqPz3ssZuMI81rwc50ww+c79NsaQmq
cjCrurqAjWnIi9BN5k1s/Bscsj9Mt3MmcyGx8rTvs2OVEAWrWTeHjH4b4JFOx81S+BjvLMUHpeUP
KhPxNp2RqUJQAK+gAdhQrbTauyZxo7JLjOXa3exLQavJAAty5wTC5iYHlbYHXkfcBMvsydT8Z4cj
9tqESPqodJyafcMu1s6hfBu5g+07Aci/V3Z2G6VpjEOMoeMKyBnmEPjJa9tvNgNyylpwptpkZvhL
8JFwcstL82IYfXzoKmfFD53OxlbPzkMxu99Yd4OnETsf6pDMnrE8pUy1fYvKIWyaq5GsNTde0h1D
qYs7pht6DudQU2urUHW2UnUH/FI1t2AGNM+g3G3boexfZjll25jo0IUTNxk9S/DURhi8nlJQCtV6
tNp5q2V8Zm5sUChR5937TMTjpDlOec+Z2T7NUelsiRnUjI/j74rBLDbbelfCCHlOypHGt4xDcQ2w
F4tWvB5MQi0Y3/InOqzcS8h3h3lZ6+eN7g9cb6swDi5toQdXSTqf6YzEvzQZM5dZhrz6rpFkpkmt
IrBOKPc21usvZ04axvOmVu01s1ZbGi4cQu2LTa/4aozx6CR+jOIwrHHyatuaPrmsl+XeqWpgx4DZ
QvJggZELGoNjC8tGaP2rrlL5T+KwYtUTumKRN2BRswgvQ7U/vCS+HZNZbVgOuEyIcAX8ctZJcIID
5nHMyzNH/IVaC/ikyV/TMWUWXFQ13VMzEsMq8PPu1M798ONnIaP8ME9PLvi+zKMBJzkXgcxfC9qb
t41NoePGoq0y27RtTZEMJ8Tk3v39Pie/320ZNhIBjPfCOjTLuoDu1E2AuyQFF53Skvc/tql/DBD/
HBjay7jyLz4a2FJ4M7ECgUIjgv/PwviktQwSk4Bsvhk8gJmlhyWRD7R0vMMXiVcGlnmG/0F1tuvO
DjyNn/HW6UeIrlVNCdZKC8za2JhzWKRcd/2RI+wS1IrT/hcnxcXLNk4Huxr2ipNfJedq9ERXv5MN
2BYhJ14zb44iFUisSfRVVWPh8WxlV1A79YGBaUWhSdodXQMXj6iyTHlNAqkeqVke8r6WFtwNvd3w
OQrPH/BQ91YPQdEds2tnD+574ST5+4RwuQRB80+Rye5iBlN1SYOaXsRhQam3g/1akNA5WJn0r1MW
9ff8q72t5y4i7yjD49gDenDd1tnMlAnsBkDQu8Ia5Fk4w3Sg9ovSo0G1PkxzETzA1oz71TAHjceX
jaZCcmqbADPa1QNesYRNdpPKpGvZgzque2i4z60wjXUg3fKZI74LhCNXPxYefJopkuTUYe4Ex27G
Jy5tAFs7ijGetdYUt+7saA+yGcQeeidM8NnRi19UuYzPBPWtZ9Mu8mvoV/XVScz+qM8QOqWhwrNf
6TU5OXXIamfd9qGztou69SqHCDdCvcGAbIDnMQ5QMfsh72i8SWFVhIqpbDoRsWYIWD90FMd6DB04
6BaGoJ5c+o+Fr1DtfZCeLfqS187mAKOAYrB3cAnDzSxFe57rNqR3qRlPeeBY58xJ5JaDc3S2zYmb
ao0iCuU+nqjAghXr6XVPayX4y1vmCBRcMdSudqMRTMSDLaxcStLKVoMlxQSWXLshLG5QXBe8dM5l
LJDlcbRs9w5cgTiAk+a4Yh804kk1tPJJhA8pl4pqSMmgBdPN2ICwjB2byBnbhAew4dosa1ZgsXr5
yzomAyO8y2ZN+6HxL//C2kinQI0oNmDQUD08kbxJzd38e2Hsfi+SrBRq3S0rZ72soTQBsM6AXJ5Z
CELys8hx7mVaVt5xWYNrocZjPhSsuaWoptccTWkrhokV3Siq+x6YxGkGDf5uMtxaF6mNH1mrxTb7
vTHEyx5hL7uFkdL+CdKBPaQKkogOZgZEkdf+3oLQiRmRu9rUMjs0Kvtx0gvzFoSU8tcIs+43MzOS
fA7FVuau0enz0/qy3DbLPtnV8byOf++geRk4n0MJhJjIZNdSyCKi8lSmGd7IsiW5WpCQ3PkhFAR8
G8uWPqNOI+9rDVxlM+q3BoplvZobfkT271PDtBwgNE4S83KkcH4fLhJriL28s02Cfpw7dI6PvhtW
npWFeOf91HHgQnTjKUsNCDSuNh58xFloL9RLlBx91hTvxoe46wQoaydUayL8lFGMBQZ/bnqEtXDT
HyRluzdxkImXsLDUpW1M555AFZjVGpoViYba/VXNpbiOzPS++hQeQdRM0RO58/aBYAKNBgFu70Mb
hLh//VojWMO4hsumOzi4QEN5sTQJREYjHsaZDtvHoIQFW4Cs5zWbypAwTpld2g4WwKoc7PpzrPtX
nfnnQjVZBltSN7eZ7xg7h1v0ox3wjcfcGg61ViJDhtDfHgOXOdYKeyt1k4nSruZcyAPuZvWQxYV1
pWXW9CKbrYt7Z/FYwl8gDaTX6UFqUdyuM6oRc1h5DhgZo8Qe645xc2OBZdhY/eCSeI30z9Gduy9Z
5CWfMVAbzAe8aNthmE19ZTHtgiJt8DFOTLB3sC94i9PRio62VTJvqh3t6FY9QHW8RMfYZgAHpr3G
GVGBQY8CTX8zKDyeqYh4xPYEea3Q0l2EMeRIxL4Z+dAcUr+TSN5jafmEw3VT4jDP2s+AWdJ72bXN
RrcVjtUi8UEU+J86bPYNX5G5aVGPT6J0efg1u8VPQij5TsOXCAQCJsYKiANEqmGy1DXi24Cmk2Pb
J0Ja4Byi4eqXLjRmnzA2uI1zANDWpQ7Nz4laHGLkkV6LJlHHfmq6G1My/ggMpsmE+LFowQGiQiME
NT7k+MkcDuwb5BlrlbrWEfPaD9CrzwlUEgWsGURJ1y/yg12bDm/7sFAq8PfcM/mfdqw8HKz9RH+O
x4jQXpE9G6oUr6rC49Z3afmCLzl+IThR/0p439cuJOp9387vuas/SyuFOgMa3TqYqrgRtDfETLA5
9BOZ6cbR2iQOewWvVdgUG70nvcz8uLD0U80o5OCAzvJ0PzGPzPTkHqdNjJHLnN4oWSqpKwCiPOIt
WcMc8b9EHaldAARloNF2OdbPOTyVYexmbwzVd9eF/s5Vlba1jEmcSZhFp3IS4Hy6XCvA3vXiMeT+
MnqE/NtfPcyI2JNJ45xz6t3kQrOKHyDgIUzMAw1FcZZkWztWJZIHUo4bl/QOa74JlBWojsWf2kcf
aURBu2+X9RGmDjQ9p+F779MFEeCAljHI7Dl8oxOl5wCsFNeR28RqcPDV9rwZ3LTZlf48cnGSclXB
mzqMNC/tIpO/n/y7/ZpxEow2PmF0PAf5tDVLWWyl0dnvYRUZO9FHAN8cDYpFlk68tfWk4yHPwxjY
R9Ec4rR5Q527mW39ZxG9N6DQjY+21+xbFFu2x/KxATbNSC5sm3sREK/YDRFx8hhNaQWL+zlrcw7V
VIyv8dcahBbqYQcssMEiJMed3lnMlJAwn1tsKaQ58Uivq7qvWZL6dh0oUd6Vtp8JWsJdnu80d9pH
xhPzo1V2BB+hg3WeYZtnMG7ohgXf85U8sbghzeWvND+wbpCQxF03RC0dClAH8h0wVe3BZKu+SiMf
fmhS9pul+6AcqdcK5tC6JdGg9nWUcCzS8puM6Z7SK+qLGmo/4JHGOyvqKlYRYC7m2GjrzPyeLAoB
qFLK0UK0Kc09LIE0LqNJYvCbLxwIT63oL6bevTrJezHfTyENCYqJXpWL+Cc2g0uSZDQm1aV+Z5t+
9cbzxeaFsHQ7zDZd3WFevpJeQA+A8KphQ2Kf3YGl7N5msyFPk7nyzdcT88VCSPJavVGHhjH5kZ0g
PFsp3WpOSOV5B6Zrk2v0ccdxcGjrmPGijZG0G7vwDiXXup90f3o3GQuvKBjPDvWsKDCMCRXbeWKm
e0hkeMPK1h5fGfsRss8LQ2JfEuE+UGZ2SKMJtgjjXQRkykcBhJQ4ZADgTCTDAXUX8V4tQeco5CQ7
pVRq9JEx7jlDUqSmCsBvq1rq/tVM6UBS1VLPA1tzkwgjfKLwBg6iIOrDkLfak+9x9xDtQUTQ5kZf
rk8TEl8DdJ8gwzxEJ/Rr1U+LgjoGQGKi7D7IWUTJ0Wnztl82XMcKEeOM5CnVpvKYKKoCEr/kQJaE
87ajnxxZ3lKPJAabzdyVNDmzZpBSnNKSRFxhC69NtcHysibhDUxAgPH2U/rjWR1vFl9KAXYg43f0
bQbMgArVZ+KFACURu7/KIJf7MGGF8CV1Vw3GUV6VCGyjYMrd5nm9MpwkBnVYsJoNA2TVIDHXU5cg
Dxu+f5OjW9A99mkymImTBdHB7wj9E6W1yUoko9x0pBhR3ZQX2oO+Sc15OjLho5a9du+5ly/G1IHP
Fm8aDD4/uwkTAc9u6G06LLR5E40mwXRBWcWqxgB6Ih1k8xH4xmGoC+MbBZfAm2jyn9Anr2UNTnRw
5KR5leZTkil9VPKczMW3SIvkDTwdOPYqEf690nr3JuegfeWuQn4bxx0hVIvJErqufI411XttEJVv
mSXpmSzT4hQv8VVqPkmbIb3sdRmlO9XX1TmXebNvyHyWY+7BKKaBBV7rjCgaGzveMPnUcl27tloc
rnKU3E2UMfsIsT8YekA3zFJcLszj2Ownh88T1OAbLhEP4dC5h2HiMiC342dLT9WhStL0DFPMITmm
mQd/iK8BULvuX6Vi/rOrMCEmB7UYv7ru4kb/cwwwxLnwfcC+O43QyMZUMZV4QQ/ApjKpmVm5wH3p
uR6Dx8DKyWHXyEswqcJSu8NLM30C8S/rTapMbN1RPKMtLPNKZjqSAjdXp1DYCGlfIY2/TDh1i1Ty
yhkZEE60VR6phlbw9bghan+PyvxPT+3/H8oskFkymOH81/P4a/fdfYW/6nr6cxL/j9/290m8I/62
DD4UUwxTLJ4sftr/exJPMwrCIDN1oqbLr/zDx2VYf7OVkGzmBiECRyjCK//wcRlYvIRDIIkYhKDM
yzX+O5P4ZeL0l2CdJW2HUCCQccZSXHf/+iiapTvpXdlRlu2Ybz6HMhQ84H/YdJmX46xOfq/Qrn3G
3f71xyf1n4yEEBP+r3/18pb8MQwTBIaTRG+qDR4wXNhhk3CpmPdl4n8ONKL+q5du+U7+/E5tQU+R
dBxpgvlXtM/89a+L/T62WsUZqY85NQeV33pubNNA74hkS9ncqx7E8Y6fdLWBLoNhwe6pfinxY/RW
97pE5VdqDp459l2n1r4x4xEPa2quWt1/qRZ7G2DhCFZVfDJYsf4VtFn8n18+zj1uoLbiWeGB+qfR
oaizxqY6UW3MpC32tpQMaopWg0SASLzRmH4w9Z04hiVypK8ojh6UDy8XM/C6Z7S80rvqNZmtgJ5x
nVw8LF+pdqJIPgMbFECYRUBrYCvQfdmQQxziVe4AboSqsSNnSdOWM1WHoBL6o0bSvebAXuMuStdT
H6zs+W4qdPrno01vhvfKjPfBNHw2iclEAChpl61Hv2+9IErubKzHZTo9qOqbvCx+83H1PkbjvMN/
MK3Rw+2bonZxvhr4mFyn6w7MYdFCmmX84vDNjGyxqjbkjlle8Ggl+l2upcz/Xf5mWfXpGePT9BFn
LRInggiyTlufBJLLSlW5bjOXdus1+Ryqimp7wCI3VHvdToItl7FxzVzfPSpt8M+OQ05ZuXFzHXpf
7eesyY8tPNh3qQvbC/KouHVAxLHgUpqN1c96x//tbswhFJ+lOfe/uBrSaGWcBhEOl0Gfl6XYodYz
lksZrCXmYw58leV5RkzODdCOdvlNWd93FBTwVSHpe0JUA4le405rSiwCUwg+KX3D5nWslPvEjgFB
mB+N2Uz13sCa5kFFj/ZD5sfrNGuqG8MRm7ErHiFs5n9Psf2XBRGCBegvrxPoX6UsSxKksIVli39K
5LpBYVQlgJ1Nl6agj6ET0rpTVm2YeLkDctBi6XrEqjOe57DT3kPa2SiwdCoknagqzo4tnzhge3Pv
56eh65xfI+1PD5J+sR1emsazXKL4oSySF3ZrGDGjr//8Xn/+p7er//+CeC550T+W6vVH+/Fvv357
mi8fGfL0zcd3OH38238mMf/9t/7HxkY7hbIIhEIx1m2HnfI/DMpUSRC/VM6yVS3Pxr8H8ay/OfwG
Hl5UEG4vSxzw3/3Jxt+Q4QTVEISczSXc99/Z13Aj80f95QlFZLAIvzLPsmz2NnPZf/7YXyKD+wko
hma7iFqALesg3CFKhbeaFuvPuEaMFwcsEJcBLK3nSE6DcUSEaQ/OEHHTVyK6rStu5ExsJ/VN0Qr5
orx1Oc0XgbDOiDFd+Aw12CfkA6v2ufdjsSLzI9ajJvVVo4PHxezzZAN+8tqw62/LXH+eY4SpVZkP
j5FZZo8Brn1C9bYkDZbFe6FK52jNc3iog6y7ZkB+gbrbJmpFk7ZZ6VWhNnu4MMAZMsGmOrLN55Oj
GwOFUZ0z3bmd3+Ndi6y0OIq6uidnns33vdswmFtadx9K3aEJDw5d/wDSHjPZrAZjgqOTEpZylAj7
Ay1ifbWS5J6/wdd2eDhhsGIEBlvUnrsxd90jsRfb3sDTEPUdgeDyGyowUIEA3FoP0iFwv2kKHz9n
g9HyXsCpRYiyZeIF8aBZdKO6lAlrsG6yW/pP8oF2drP/aXFoFpcxzKp3rIfGY2GJhebgO3dCTYgh
cQybDpwgQcKw1Kl5caxPUrOqP0iL+Oyq8mviimlogaoJxxLZs6fE1oiJbHm+gdGcEln9UTVF9Nal
KvjuKq2GmtDYl8ymGB1zLz2PfkiPhGdm5XCyDdHu8sBnoJrgstzxqSjDa03MYylGa5dGrHLem33C
vY1M11mmWpa8zzwc9zjG2ZpbPdePJIgSELIpV8k5AJpR+hO2A13SaFV22J+QWXCDSpiNpkoAFBNj
sY8aiImzypOvLuNpGXMid+soKzBERUH8gKYVcEedkyVBWTNl9i0v1mYj9AK15DwKqpebqJM/QZo5
L0i/POSGzhX2PSxtYjFl2nt2N35Ko9DptO+1fTzSEwaXKNoRA2vDdZu50clqs/tSxtG4orvhbJqT
eUdYwX2r6zS6CeAZw06c5nBXtbbzVQOch42la+lrX4/EmzRhovBYUTAGHmddjEednrM7LPYHx9PD
NC6PRPy0ne2g1a2mNGjOOI4jEI35PUM8fRMVhqp2KiZCW0r3MVWqf6sVbaR62fO8M+g2Q6/vm8TZ
OoXvyD2A7vkDr3wXvnR6EZKoG0OuizlN9ajjhjYMB90GRYl/c8aIUWR6lB8MSChLo3kfvkJAHamE
NYK2gGZu9+OZFCvEpjBZ7ua6I2S4VYlFA0WoDcZtw7zCXpVWbb1JDMwcZZzA1vydn3XqBcdVpV2I
KIX1Fm81YSOomSDf1JJG9xAZpLkdppFisphCba7zem4mvOsiyMeLAkfX3aDFIEUYoJdIC7j8X/eh
MyQ95FLfGF5ani5npZNWG7d+AGbaiwaMK14+ubCbKGsu9ljy2kc9Ts0D6ICgekiaYqI0k27A+NcA
zubcM4bmxTZLxuJEvtJnCiQph1NFnPxKh9atN9L365J+NSx568C0MVYa+kw6taHDF4NzZ/hQ7Of0
p3ZpUeM2PwQbPy6T5sCTyfS1jDBPcOJSd3Uf5Zc8N81vSxvJHSnmdNGROsv6E/xDjSsUWNxi5hvJ
B/BLLBKjeMotZTwBy0Em1xN4eGmiqDzQyyrwQof5BllBQgczORVIESZOlRWDnZBeTo7oNBpiwy8o
uKbT1IhKX+MXcRyu0jFh9BLn9fDWg5W46RMzfylwkNJkDCfj0g0igYQp3XFVlyROWYcCbQ0CfNhb
hHdvQO65V5+alMhz4tDdxpo13pkj8rkKc3Gf9XmIU7Q1Qd0neVAc/IoWglWZUr0NUjY6te0ADVCr
q0d0QvmStdawJZ48rebctQ7AtilBzdgis82o6QggAehpqQHFJRKnEfoInLnb6VPnnktuACSYGwn2
uyC9Gaq8vCWb133ochzfo8FQz01oAL5ikrNF3fTv2S0jZ1cZdvNYGPH4yaVFfQvXGB6HOhu2vZk/
UOkM9HKoCEtuwr54iDs1xnCtw/JIhQArr2PgxERMk+us6YEiMgOKPFO1vfQAJkTh1kmXmg464d8C
porVumvy5pRYk/PjMpZbcXhWjPXdJdXbZu+2nZGlKExdDHsdNXGT9qlDIW1a7LOsL1Bc4+FiYmcB
0F+0RrydDL7hVg+MXyWxoDOcd0n1eI6GdCYNQBN4U8/FU5UOoDX9MWPvyvtSHUrM0mAq4GVitHfA
WE56G72T+VV3fTdJMs2Je5vXcKRwZzpfbM31GctJ8xb3EFtREkbY1WMSnDIqx/laJhYqU471fRbh
y8L83Lu3fC3tO+KK/pwADGUeg7XlXizYpcicStyqFvQhO/4FwyB9YpATbwY/i9oLP738TZ/1eT2a
LbIwARtwsorpOZit3qaWKUSBv3ByoZmLDOrrZNCGTeY9ok2awPcKZmW9Sdyi532zKYo19Mi607Ft
E7Ds3OnO6LS5fEAv1o5CFfW7MHIesEB1S5KgqDJnzcivH5iYNu2nxaXyHexefzciGMmDGebJazEE
sNwm1QLf1WOVfxaYer98uTQs0lpTa8cG13jMpxq78ZZCbZt018QVSZqpfSyxLoQYZgv+Of3G6PKn
sZjpmm33cNQjtC+Mv4jIfmveqZjJqjk0rMz8cI3nUWvIjxPSnbF/kSdg9B5U3CeIjOymeWh/6Dmg
szjp+Xddht2PObT9Aem0PA8WYX7a3Mu7pCiAWDb2RPzCTPv4KUXZ2YVV1pyi0Nd3uuUjjtWIRyuj
jtKX2GD2TOM47BbU+YKcv01XEradkF9ctACX2qSsibflJOePyqXtflONcvqIJs3/apuRKH/T9KiZ
gaPg/AkaTpKrgTvpxA8ehUrw28EgZhiOVpnd5LcVbv17Dqbheoxw/iFVcpUi4ES9AElqP9gJNy7e
XVp6eN/ocIE9PMM/8hN8aS2Rs7e8aLniR1OdfySTaZ4UbNIP2XXNhmLsruaAR2k8uWrDXJWGmRxs
vqQNcfZ5WuYCxUvrBNXXrBeQr+HPm5coNHvKFbrCIo80jeeaHo7HwsWOsarrwrwUDkE4Bg9Rc8ix
Q8qNUEFxZdWf1nVt07vEYQcEIjS34AmT/bLuUIOjGkGODkkDSH5NujpZT0VMebgcp+rdiWK2GpJ2
8y38RVNhyhu7j7YtzI0dxk3hZVWS3EoYq2plD5mREJ9W+kINs8ebtjY6nDtoik/B3LqPblUmIAr4
wy5QMHToxGPer0d7VK86jr/wISEPd63UUrDLAuN8t5wtqUCApeVvG3ZmyEyTeQxTOjUAM7XOXhZS
ozrHDsnJBHxmez3CJGi2LZ4306jtOyh8GijhfBAPFrvOurSC7jmc2+hBTsK5YkLl3BaaVXOXonT0
W91F4OFIokFp9NqeQHtNs+NDb7nRbdyDa2RskEy3pqxA9AajvK9KFuo9rHUmChEw+I3Zm9o3K168
ZX+2tsQP4l/2NJZrjkLmkzu6hbHF42Xd69hWEadiO/LcEPAXPlqImcPUusfQKuy3xO7na6bX2meB
h+FBp4QcWnHTZidKrewf8JBRecZtRMfpDDvjW6qxfZ6HcdoDautPRNeSaE2QXyewRUgu31okBqd1
BOkp3FdVZu1p5dKerABk+ybFL7nTW2D8GWqFZ0+RTh8JAubGmGBXebmgy5iuoyGkRr2fXmYHgG0R
xuXE/2tX9pqZFTBOoyjPbZFQHkNNUr0Z8iA6EbDQD0bWvY56i7YcFBEhiqnjCxGUtBT6cpmy8OqE
0jlEmMvYuwJ1Fw0AMUwUYSS4aQDUyOK1klr4DG7MwTxJrI+nkGhP4/4UIG4bS9aHkY6TTQXLdavI
Je6ImxcEPib/l6+Vza0SBevfhCS+qkduh3jgdgXsCxq1Q6XWAnjUJXCL4jrmZnio4hIm96TlDHMQ
FKvA7r6GpC3vbG2iWIY0Xs/ZxS4eFXvf1nKGZg9OPWDwlDde4Yb3EfnzVdPxhU4zKSDYS8g3feFj
5sKrVrp0uIxB15w7EbBTY7dcD9Hwxe2hPRj41yAH4skj0ja03wnDsmETDykhmJj0YlwJgjnUCrZH
XJ6aB+SG+pYKNUkVlK64mOU+Zqf6nkuNsxXOnmU75TZWwns5WFNdHyfqHnZcgYJtH4bcaqNJ6jfw
kvNNyKjIq4jirFBBBIW/S0ojg5PpVeNYn6wqac/kcMvDpJUVTQZmrQPuNakThv18loX/yGN/Z5El
7McO/uqgrsqmFtUh/gAQE9hTYwzuih8neNEkoDq1muPwJiR2lnjx1KXPhRzDFwrKXZwCmdWxwVZP
ZHHGj6gEsm7NQhAOITp4M4Gp3FtiUIfCZ0K/08cGMQWo1PwGP+4W0lt9m4Ak3/lNu+8MWXMC7PC4
6KnsYLTXlMQlpvnaTEX/Wc7NTRam1alJYwo7DB18ZpTJ4FO4vv4ZcNzwHMipW3yZDmlfbT7R9Nhc
MDx2D1nI3y0pl6ABTXTbKg1wlaAAmYdszsSlwLn22NqczacmwbvQpVr7VvnEAlvaJzZ5hsu3nWTz
6eQR5TGuPZ5M1x8e/MCEc+i0+hbfC7sb1IOt1AzrxckrokM4sIJ+3df9rENHcK4pT2O1yfoKB0nR
GdmmAhOBTJ90OU4zAiVs4UYVehja8F21mizfW/jOoC8hFP7Yqd/a+IooG/UMkefcTFoRei27yXct
NCx9CWmqfTxH+fsY1IwnOilSf2VrgOSvWVwCq436guN3kl2LWIp3AQ3tllmv8d3EWmGskoXEQRDY
kIeO283WwhCpM64eo+ekGgeaORx83g9l2eQ5kPbKARVptSVAuWp+7cPSxBJDKc2IC5L7AjXrVyNJ
hUUfHZHXwNSMTZ/MNrJ2P1o0RSk8YF6bt9qD0UywV4deeewv5UOY2u2HwIW30hoj2wszeq/jIjzJ
pmlzemSCZK0PzFm416WAsf3CfKzsqd03OSbGm2Ak/ejJvCbCJRoxg8bWMwDfctSwcThDljvPcRUJ
fVeya0pgkulyZAzOw1Buo6HGFZC0LqxkPDpzA/XX1X9KfewuDtL/iz5mtk1/ofSJird2/BrRqn1k
gpPjNIorGTHSGtOjZseSghS/nR/y1uixUjJYb05FOCbjeqbZcRMN2uBNTCV2hFbf3KyCC19xfdvJ
RXhiRYp0HKqGOd9w6azf3ZwdCxsXkekEdjUdT1J7LB3fOYOgaTyOkCQnuqJ/55WL6gtLvkXtGpyP
W8OX6ivF6fXCZIYyePYjTtIl9RpQ6S8mkCu00ACLauQG8kyIgnSWG6bfMfRlf19hD8RKCuUHLX0G
drJK4MqYnPgYGKxkKTCnWuWASRZW2XBDCq1ZroVdwDwihRqFklpC12ddpyyuxAlH4LApbB0HB1Tl
VQSLleNwHE4LuzxroXFwE4sxTE4OEF6719d1Yra2p+qye5V+tRyVm4L+C5Ba6WPCOBAUBxPL25zr
C/81w5rghRkP5op9OrGOlZmpj0BbiB/kVEcvGQDyGRpb1GSbhOoURujj4JbWZ4JD8cXKDOd1Rkce
YaeH2rVwiGt5Dep0Q5qxmbYOJT/xNkq7+sBJPN32c5mknj91Ddc7YgWAreK2hGMeOsG7qqZyl1ud
dUn9HNuByDNH27Z2Z5OEcMwvi/kHgBXSrydLpQkgb848r3GjEQYwrK46xZUlrxnQvn2aLQyZuJXp
PQpOtR98WQH6qrl7YFsIyLYatZWfjdiAltJUGS9JhsmwhFm1BBh9kWloT0PrZ+UhduHIb7rMgA0G
GmlEnvLHt97igsV34jTP3WRDEbO60eW7tq0Zc07SzrDw3YkBGs2Q/keXhsajYzthv1GtY3FOSAJ5
shrkqxVev/hDkLRnbhGNmrGdAkPXvKzHcnR07W4mPdpx6eLxtJx1AnvJhEqqj8FrBLVpl+XCgh2G
RXGbO+AgmNam33mViZvcnQgjp0kncWg1kIpvI3pPnisXS1016ISwu4nSSDzeTmF5iUZOikesg9QC
ARRBaqIjEAzvIqt0feA+ZlHNbX4ULD+TZcSf/jS0zEEQksSZdQLgZ6AbJQ9oYmbGwRmrOodET4iA
aG7fzesoHu2v2uzqp9QSBBgTYKTZKhGM9GCZ2WT/QovZI3cBcPgJUWa8hviDgo8Rk9FpFPViPnVj
54JZkDiMzfrJgh3TXb7KWP/ndZKrQF+beTsjMFMa068w4i4aZdSXlzhL4ba5UzK+WVQtrme76t54
k2pxrnW92wVl0HTnkkImk/MykvZak03wTbdhHG7pKoqXLgaAbh7bEuvKmI9p9hTLXh1nt6A1UO/a
yvIGtkk40eCvdsqix0sTDQaJvtSn85Tjz1lukVrglfVYBRvK79J4I+gDvBO4IMudw8mo5srkNutK
553H3qT8m2GkJMKrWyp5Kj1ektJJxvjrf7F3JttxI9fWfpUa3Rm8ItDHuqObfTKTyUakKGmCRUpK
9H0TAJ7+/0DVskuyXXU9+Ud3UnbZEolMABEnztn726lYvNWsqhZRpPm4M0oNB2rSDlO7RQg6r7Op
oo8WN4JmEgNe1oE5Uv6lnRH2gkVPc45gLjb/IFlip3w0qsQy+iGcaaFDmkVTyQWHBui62xaKT7DL
cnkdUsN/bHxP0nlMXDgLRgm5S6D6S3mNicpYGRnIsG3LsgnxpKuNh5Cjhv/RjOcJ/fmAYMxPoCX4
Wg4kSbQQOK6kQE1fMgoyuHyxGT/SxbUBOhVOTYyOFz+mmT8dsBVCEUZ36n2s4r46zcyHGZlHVNIQ
8ZP7rM4+VYYVbMvY89IjhjU67otSOqy7Idj0I7GMDHSMb2VcTU8JenmAbIvsb+Wx7E6njK2Q+FzC
ZGHiYl4FKbv0stNBfaWYa95E4ufPsxgbYHmVbrcc1qIbQzJswr22fKIuQK1uuYuBOcrs79JgwkrX
wiILNKxPtHRsEouc/r4Vkwl0MS8tuZo9PR8sHtzHrtbVI4JM3oAklTEA8dD80NQtazZI6u4JCowc
T1HdV7uZ/kq4m7U3ROvcaOlE4XKGHBWQ9RKDpWJD5TUarIVwG2lSTmWWTrt5lsN8rmBVuYd2RPxx
QzfTJ1QNfdyRBIAPUW0DlR7l9AoHf2sZNqY1geTNr+dMf2UgA45d1eYnarLRYW9LIvcDymyaFoDA
iNJq3PCpMaX/RC0azmsBvNxYC0ZRpCOndf3ieqK8KpPKmckLfYC134r8O4p1P137VpJtsO7T7K/7
uMYyPIL1ylnoqSgbN9//33z2f0WOciXSMMajfzajvYle0Si+Ft/+qDuS//ibv49ovb8pRrSSXjqH
c8Cof9ce+RYYVSb4kJk5p3h/mNA6fzPZ5fgL6JFsz13Gpv+Y0CrsAQrok+MLh+L/P5nQevKfBEDK
8kGx+iig6LZCtPp5QCtA5YREbML0kza5xhkzGzDQCh/Utu2dnirNCdwXUkhERkfXRZ5cMeshwGdq
QrlpW5P1hxC14YMWmrrXczpnh1wzv/XHvttJHXWPpZ6QUMol1snJZ4D5UxYfKCuLExeUb3K71Aet
elffTo6vx7OLO+FUgVKM75y+D9Hi4aKLN4v/JDo1ntea2wQD2iOpsg79+nzCDu94VOlbhDYFhB4v
QhhN1Bciqj50WJuBI6BmVIUz4FYOkscBAPwBvgcNCzkWn6BFjmrdB7L/xoeT6xQXaLZyQ6snZsh1
9JqkXs489LmCPd1MD7G1dmlO6CK3do7tDuGusWqv3MUce0ui/kgTiLslWCBlqViy7ZbAATMN6Jij
4WQD4E0OvEPiMcAnJo9hGzQnO/boc+LeIaalML6UfaAUOd9kWpVBmbzWJICeW5yNglB6cnrY6D06
1X42dcU6tyhbyDVvwGuUS+5CqElgyMxUQxVZchnM2bCukb2ENRgduQ3AyTE/6QGQRufgzF71LVXY
yqG1fpBL9oMxG8NDYjX5V4twIoaKoCiyLSwo41Nb26QUB0D4y71dt+49U8ag2tB1hCA+Ew4eroNy
yJ5KutLTSnSia9Y2ZvCl4+PLq1vhWCIkhRjI2eusYNcDY6BQXwAfcdzE1jqqCEoilxAoElpqQ51o
4REkVNE1NJu2vq/oQRCC2TQHHDz1Y0QH8FLDfTJWQBtzvckcB6IS4+NX0XbjRQwJFIupnqDIVl7K
MLgzty6Rcms1VkiCY5/O7TwRet/ZNUNHR067iLTOF28KplsRFurQMhb8ODLoeEGNRE1lLZEjPnQS
xP+cxmQ5jjQpcSXY3TisU/w/dwmy4m2WgjOyK+w/EC3Urudn7b0M3xDDw0VQ1fmb3i5otbZckp4b
czsRFn5L7h6xAwER54BryoOZM+AiMKPYOyLKPzZ4P4iusZ4RBsFrdWk1tUTw1cNpAFVhrVQe07/U
GrMpMxOAGXxS3Qt/E/txe2JALzYBgQrPSKNJtuz78cbqCg563jysa6INyXmbaAbK3Ob7R0kc3uOk
nR8sc/A3U5GMdzzr1r4yF+FeVDrF1dd294AG3dwkvSM/zKGeP5ID5B4yD6fbTic12mZrrIqPKOzN
Fyab1ce07PprT07gR086R1TNwJpTfnbyHi1Dw8S9n8y8/lybeftQLCE0WjG4WNempz6YcY/qIspi
BG9wbpDXs6ZAXsdNudXWNOOtdM1XPQNbQUTc2s/U3uGdPQDfRTeeM81LvDsfP+mXJCIzJ3qPzxk4
ZjyCzw8OUxXLI5P+7JvXBmpa4RlaIP+GM90l76E8asnnwZwuaXT5+onB83xF/K2rjc+p4nmuhfcw
5eO9x2RsWFFf5Q1TUqn5nEY9MFXz5WeLeBFjz1SPQESVZcGF3IX+ZmKNeAwYPHxnFItlG+zz9JK+
pxC1LM0HwlCRrSdLTFHa0EXmzpM5zlHCdJ96tAPmuu9jbAGZEz6Sn1i80vbh7R/6gu7QEofERGow
18QfYbyU/nh2zLCT63DJT6K4UxtAh/RSaP9tia7Bp+fyDCx6zF1oY9kmnMVubgAK1GCZKYPlhpHX
fIArT6JGMUX9vS9Js6SM4SWpXFBya78z20fmKPUeSw9IkwFWwoeEXskWYVt9ZE7lnnAoBY8h2oLP
QUPGTCHm4Iuh2w+iysczzCzIpZwMkgcsPWl+KDWxnEM7I0wJrLA/pmMD41cakwnnabLObup3t1md
0kqQroruUmdUF8opQWT5bPR8EZk9P2i3DfXBjDusfIK8nGgInS9mYujtMITeSfqReLAKEjtjW7ln
QoVzMuP7HFM08ZfbNB3VXV5M02EoR+cmTRqj4SUbMCFmQsfGtsNpYGAT4wwEk0zVt7wK5rOLw+oB
3EF4Mpky3EwqyF/HtlavBr3Jfa0E16wtq/kmu87bjWVsPg0yxohsF97WRy1/Dpum+kq/W7+qKmGI
EVpOh53aQCNMfp1uDi5ydCIougw3myyuAX0NhA1UG4feIMxzqC1j2phO6xy7YCzPicaNW0LuWQ0T
ZDimOQ5U4XmaiIQdUmBAtuGuG+HntLHGlP3Wr1R9URHLy4oJFkFxkR70K3ynAO5bju8g6qb+ag1O
3t/JtCf8myhvZoxgp4rbILZJ++3j6aEBxrao7NvmoSg9otJa+qpYFBOPfl3LVlcMPeGA7uCml7Yd
wSBFeXkTYbpiImcl5jcwU/hADLNnMIgzKz4pkoDVziSlg05UFn9kz4bnTAOJLobHTPYLOYHOKcv8
aq9cRz0r2hz4mhoyifySpJ01obnGKYvhZRzjoS2erKK22lVNZ+YE2EfYp6iYrJeyEoS9j05zRHvj
YqZoi/JmaHV96rCqPI4oVG5sRQAhnT4AD364JMzN+n4uWr4QhKpgsLyueyG9vbzCj5pfhOY8mUGV
P7azn22S2S8eVVDbmPAtxuBYNtyXzmwiWEiabIkVIDInOCZN5d7GURTTBarTl5K8iFsKttreg+vA
wV23Kjurqfc/E6o3rsbY/SSAKe8nl2YhSRI8zqGNzx2P3xO0sRRZFyf/lbIqulqko3jPSLV7gnsy
cqojB81rEQr90WTprFaJ2VQnQFRqG5H5TrAdx5CDORLb4MZlf5wmLNQm5/x9EBg7RFBRTZcJfUIZ
a5qJJhMoTlPLIcry0s8+k1JsYL3lHxqIIhdr6iPsRVIM34kRVNseflVDYbQVVYyL1WpfC0gXB615
/PsudU6y859suHJ7rYYP0huql8YmtGuwG9ok3oCXeUY9IPYMsDm/l/TpP8Q8Ji/1KOioBMN8oG86
5FtpyfjRnNUw3vRgl5N12ZOrty0s0/6kSFd+qzhak3DMqg7NLqNlyfYTtP1hbok5pi1DoSPCDNEL
t5kxT9A7QOfItP8c167mS1QDwiGT7XOPTFGuEeWm98lU8KaqcgrAShvGvVvGT5kIvfuFTvMUi4Sz
YcnA89jbut9IzP4EWIrS+F45uXjq0sQ6JNnE1luGzS4UqF7wO1pPTEcCvvId7eUVSXvObZsLcc6F
trc6bzBAKgH9oYjyYy4hlDCqDO9bv6tQBMqLB3D94lIqg30Q+iGoy/iczpncpUZsMB2Q7LErHYAY
X3u19jZDUJo78D/JRdKbOId1rlMi39AIHPI07G6bmWJx1XCc+cicNDOh35eRtTFp9bgn4EDdRxJq
adpZox1+rFnr2MEm57HytJlsrJ4qcSfrIkO2bPgKWDQ61OcEhOBFT1N0H3qdgXCPUBQMotMIZLwZ
6k8tstRnP3MnjHleQEu2GNyPrVs6Dyx20l7ltYg+8wKLHaJTghBzA3kJ70zxgdlEeFuhNmRFBbez
UTN6UJMPflXukAMa0BieNyn15pF4LtzUGZohWGxe14pDlXfmzmot/KN4eq2CVXOSBuIbSCkr5kQ1
R3ZB7AnWK+Z/dt968RZHCAFYmACNV3Qw7QfkjjMsBWr2TZWT04I0tv9ceu5UbbDaFbe9761rPNHd
mhELJc5kD+LOR53/uU1HTmiRjfTxri0iwdSprjNn40RYY3D/B8jr4eFpaDxF1FqHsZI2lSaPMmxW
U70EXs9BZ/ACRcPR41Fd5z2hZzdGBo1kUxUTRnx3li9ta9jhvnOFf1KTRkmVmGH8XBp+Pj3QGZ6w
CCalfW0blAj7iuTlaReIzguRyvkofzJa59FdZy1gvywr4en5QO3Y9DJF8Kk/PfLO6BV6H4zAXYSW
CEhifkI0eGj6vDiNUDJfWJacRxdkALbdQC3D8e7DOKVtSjU1v8Dj8NBMRDgzWX6Tbt1Ey2iPJWl2
f5ha/k/C/lecNDpfGGT+vS/r5jXP+9/+6zWv/vu302uLFKD5qVHy4+//aJJ4eK18WGj4ziXJYpbE
6vC7jp0miYJR5kN+5z/e2ye/C9kt5290DR2JT8GDdfFOUfu9TWJh+ELILum74O6iS/IfGbRsd3FS
/MO4ZMB0BOhHj+QXf1Rh9qFEuUN7hGMTEnPISKtI2Gib+3i4VAhRy60KgppS09DRzDGasAdh1PVp
IpbgWIZhvSMz1Lm4xRhtSC71NvSrx0OGBhLDUAA3qDJCWe44OA0bSgakIMFSdZTddMyxsqFyjqaX
cXGho5oVCGSQcUBsrO9kb6YvYRMAafPKiP4NPnbdM/RRoVLHYqZotha/e15EzQ2YG3sFDS5+9Rdf
vIckNKafvdjl28U57y8e+nRx0w/TkK3o27Jg68VtX74b7zEe+Oe5D+kE0Aruvoeez7uJfMF86hbn
fjfVRPTV9RATweeb58ocjV2AIng/YfsnQm1eu75LNx6KM+OKJSZyHZgVSoyFGpA56QBUFJJAnQy4
wZi5fgZmmmzhulgHubAHEPtMT30KrP3Uhm1grdUPWkGfs4+RvuXcFouVKTKzHqG3Dk4OdcqbvbQQ
urYyNj4NhzXNZ9gILZQEpE7pC/yZ6iWMVX8QC00BW9To0e+KoOou1IWZzne3rqBdfmU0FNxYPUaH
feT5KYLtiAKaogEwrJnExpNh5CifSM0GYjf3mboCyuJcNM6c1uLMQEBBpO2rUcX4sUw0imsj77pt
LAhuIDadnxKjrQjXvdV0WzDGBrGj9LNgbkqSazBlsXqJDYfaiYo/7s1H8GD5la3Xb2mJWBynmXky
FkVqFT631hICkhPvCSHIbT14NSJH5G6nfni3pNsdGQxH946J5V9WzZLuW5Xa5GtrSpjAfTTdByHV
fAvXaWvzI837hkt87ZMRWrNjwFsvptoBY2J0Iz53Xe4CtiiTOK+8OUa2Me3ySAbXqXK5phaiOIhm
GSmqYR6VaBvo2nz03DZ4VaJHIgLVkn+gzIa3xKxkEzGPA5BQy+IcMLnbCGBFD6VpZhxHVSXjXT/D
AzbBLz/GdhZeOYxG6zEoq+1kxhBonVIy/s2apkP7rGdoD8rP+v6QENT5DabP9DrDFXm2+LXOpmQw
cRXI2HmlQ6esN8Oct3rlWb4weH8o7FZEqHcDnDLGhhu0z4xh/cwkxXok/AJkXT4EO9NAy3rPgKpC
ezU0YbGdkpEszhoZPFES2Pk/WLGXambbRg5DhUMDTUxZ+/iox15811NdHo0uJuyyy+ewwVxfeAsv
N3BuCAEJORllSjHuGb+aAo7TJEvnq0007UGAvXscQzSW4yJhmGWN8CYLod1IvxrRbCbhK03m+Ji7
TXqspqDbN8h7Oaa6nbrzCFSHFdjmfNY5WrZ7PXCfRrDbJ/ACOJ4dzB0Ura7qq62GkbVk/YIOMytQ
9EOlvjcmxKDN2BnQUb04ekN5p9/CIBl2bh1Ml5nh/H1MFhZjUie/T5QD8jVsmMGtbDnZX4xmspB0
eRYxNQjMy3PGTYLtXYZf+CH5IYmEuG8TiZbbVoh3GBXCLHDP8wD/we+Zg8WDn53R0ThffDtknlMs
fBvSzGEWMmeKtxW6XTqqVTogQ5JArwfM+Ucg2eUNKPQq2/g4ueNNR/LHOUm88TChzd5GTS6q7YgW
4uy0qBrXjSGYn9aN11YLlFy8wgFUdOD6fAvUWD2Wc/aAFhkXCgrl1WD7xc4xfBrfo9NXT64zqBNp
XyPmEDv+WpqRDUCaOZ8YeoE4A1oaTcp469CMBIlWpjQmDIdGZqTJIav1hle92XKMtFbFBM687mzj
xg1HcpnCNmMcHdnN3tEgZEkMji8G695tLlx5p1qjgaGECEmUTfvosM7f1yFTvqIpkfwMfVrvXR3Z
925vp0+yNaLv0gN3QAJCOmx731SnOR8TmufEJjLb1HtGcJh/VOQcbG0WJXMwGJmbSufJbegsdb+0
9PyGY6M9JGkeP+YwBY40vR/UXKpsw2pJnoFKlPmZfVud6E7gfsDX4j7MgqYRHWldo6kW+Y3ftVNx
B3F0BHtTRtckScNHeBjBE2oYhHIGEwckWi3teArNCxKF5lXnufsCFqLZABP21yqe8oNtM+hGTiaN
XYFLDYbFoL2HfLS8c9bMLvGssz4PjWFf3DrygHolMrgJQ9Tkswg1wOc43oWMFI4dYgdiJujN7NA/
ZY+O1yK5iQOAn3MVNd8FBKDoYiLgfDV8S0KiJMqBiXeK9yyxxvEcxdgRwgkTxATm+Dz7+fDZbENc
AbbAVsQuth9UXi5rvB8xKAwCVCXSLoBqWtVlxtVHo5rJ4ncLKzTkX5bfFBkbQ5rFJ1z3fvs1QKSA
pqYwd4OujZsZm8J35CHTrpTt8KEJ2YZWnu2kewuYFA7sMH01Y4WZuFBmeIcKWUBBy5p4VzsIAjmV
cfDsbdQcbeX1J09LeSKvTEMYQgtQYUzaT3bJSmfwd46xDEEg1sF4T7yPi9AQNkrr+jXfZlc/B7po
EA5XJs7dKTjQ3mwftdOAtfQD76lN1EBTX0MYyhkvkMAdn3zDvQBapTEyGDbFAH0hhAyud1bsq2//
fyedy3nha/l7QiQc3t/PD4ux86d/2b6PHx/67830+L3tsx9pkiTALH/yf/t//m4V/YsK3VOSp+NP
a/T/Kb695q/Fbwwxf7uw8Ly9Nr8d24x/bf9Yq//9J/2o1pXFSFMI5TKfsrCeKsriH9W6ou5e0hc9
mwQcz6Es/LvtVFp/439ZvKVMPD2Bz+rvQ02Kf1AcMBbo9YPi4Of+J0NNuWQB/6NY96CsS6yraMex
RDMoBc7wk+kU06QjZBo2cLMoY0ioN7dhVFurKVLnoa7ZD8eL2/abNjRhnrs0o/5wzLn/8Zv+yNn8
NxdgW4oRnOUxqv35AtAqV8xEaEG911HWzEyoktlSjwekHvIC9FgCcK13Nz06hRXBg+1fXMLP55Uf
X4EL+VvakBaEv/Cl/+i7bW2k+VlO073pQaRjAn4iAeIS139lQX9HHvz6XVO582tsxtWm9ctHdWdE
ttNU1vuiHDC7hZ3aeV0FAjVXO+q4eD0hpVzXEGdWgyZLzAsEMdWj+eAA1jmDtjMQUFjBa5uQ9tWM
pni0UomahIdur5yxOfYFCQVNzrHKqFiG0tT2tg6EPJR3Q7dFO4Ocozfvca1kqyjgi5xq9zNZ3kfR
tD6h9zVreUGBaZjVhKt9jm6n4Jk57RJtMmO/8p2dPerxMrbpVVoz0YpD9lYYeHGyJmDNVd+HKH9k
xPPyFw/J8s388s3xdAjgJmyehEj98pS24LDp9Y3NPtI5aCEnfysqRoYcdbm0oCHvB0tf58bVelbp
G8u3pEvIIaYGtTjFJa0dv2CQiIQWFmr8cSinYf3nl7jQOH6+Qn6Z8IWQLu0hIAM/P0TeXJC1Gdew
pawAYfA4fU6CYAMRquPsZjLYjOhGe5hwd3/+e83lo//8i2kBIAzkYA/lnGXk519MzI5XtcpP9n4b
gYTssuTo+XN3ME1mjCGKXWDlDCvLxnRO+cRXVbRJtfb8gmcOZNg2IzaBzVAhC+C1p9lAUyjwfAZ5
etpnCdQRAryIakbmb27/4tppVPx67S4dCaiKlC8odX5580SvbHwaUQY3zCw2tYEBKFwmsNZA/a77
cpuCIdxDZMov1egfB+KqdBrecGZsCfJzjz9urT0yhz67nouftUUtpQw+NKYpgJsZppHRmr/++XX/
8722XZNMX/A4JhFPS2fnjwtGR70pmoHL1gbdYdtm4fSFSn980Y1bKQ6GHcdWOzP/gmKxtFB+udku
bB1yNVwHGP07QuAPiIDezAPd40XfB9C7qUiVv1LLse/PP9+/+i0WDQ6ULnw41sSfP1+RVci16yzb
R5NX7JFEpjecfH/UEP8WyOHb/7z1gCpbBDqmJ22YQb/cfRozHgapIcM3mF0DLwDG5bYKmE9hocS0
WYcUg80NJJZuW8g5vcmd7CoZxDxU2BCdoo94oyeG70uPIO8I8Y3mUByyloc8TTRdYmHE6ND9J8Ol
qBOudzHHiVmU7tG8kjK/GhahARQqugtEsG390sEgwRLsyNFcx5gVkf3xx2jOy7PwuLSkp7UAgJDF
svYRMM94qM2Z/4bxA1M6cIUVAn0ECKDbV5GqbGZsiCE6H0ZNBaMm6JK3fI7fnMR6yKs5uAkqJnvM
6K4cNMsDiTJqhfbmYDByWPeuULusjK9NGJAlX7It1BYnXcSDPHCS57sIW3M9VNmbO/AM2mn4XM8V
JLlMMaJFj2R0KddtPRSxIv48GuB0m90nWfC262WDgYTQvlQjkxcb1/9mxOe8Tm1+WUa88qsUEzuH
ifAn0/Fbi++BNDjihUNYtRC8nS9FQ6wlUZbm41By2krimVphdo2tlyVXGfGhhxDVRk6sySrsusfG
TL8zURuWVJpzqKHSDQSYYG6vWiQo0BixpUB7a0j34nizsQOUFfi+fEA6VrDusaYD7J+LPUKRN9qj
xOjWbsyBhiIBZY9F4kJ+drLqQyLVU93mOa9h023SwAepTAgKex8Gh8zi1hRt8+jGeCvyqr+jBtoH
XvFGAk9zZASF1hZf2laN3E0mr9W6qROXrFx3x3zgWihYxi4CEgSgnPfSa8YZcD+2E4Bbmw/a6hyx
r3UbWDyBfoEOBM7TJWXqgzOePSC1yAs2FwlxUPGcwwEwtkzJYEdKftU0pFcjpEfmcmdpZlwd/GJQ
Cmrn45DSDYQKXdAUg85HyOaVMTAPAV22lYi1vzGi8jxynF/yfeJ1NudvdE6zu55ci7VL6uEHQoJ3
OIneXAt5RDQhHXM5TYgu4zNSnp7dpKf8W24MxculdWmwpZLN4/3ZnTSPjagU4nYO9Ril4jc/YDd2
QuvB8jO176bszUdAxIQzfpMdr8b7g9vMXHdAYBYmxmIrc5e0CP+J0IlpFdUi/fEK5DxhUloPRJC0
G2dgW7ftar4tRm5WHy8F0UKWLfOKxIeIJ4ikR0ThgtelAh69YpIdnbUwjC2RQHAqfB7asovf3i+c
y6XQ6osZ5w17mlJ8btPp25deMQSHesR6XY28al5U3ZZK1fRJuHce4UPbufaO0kWEBDpxUQow6EzG
4VzqEjAVfP7d2AV0Y1jAjHZZsDyHv8Pn4NEltnS5wblwHlB0fCor3it3TK61y1UHdfL2vlz0Xnrt
4Nqu/IGVoEhCfkFLP7nL2EEqF3tyI7sWWzZfIocBSjYUt6QGKLIYHeJiHTM5Z3jhNogafLoXMt26
c/XJMcvz++6kBE8xg1a1c6Qd3MC8uALUDO4xgO9y6rh17M72tmmLaueMkGAm9a1Y5AnvCqaCunDV
tvHzu/rKNvi5A2stjXy+kNHZN1721lECLsvZVPBFRJl7eV+UeoflBcPNp2Tk2mL8F2bpzgfmaw+c
d8hRI1p+Bfr2DQ0XAGGrwVQwcHPf67R3dZULP3i7bDsYPS/vnxDfyHV5JZCJPCxbATONh65igXm/
B5WpLnFuENJeMD1M9dkPE2fpovLY4BxfBaaTb0vZfMIKLs9Ok1zTCpUeLB2EToKH8X2l82lur3GO
PJWTw4rqzgatRxRqLa4T6Aa8vwlv5lYbM38Lc/IhS9vgplvuDop6TM5kzM8hKjUn4T0cq3m8eV+J
ma1RiLlhhoPRZ88goY3MYh/SVbV0nsPC5Ur8cddiLqOK4Qb0yNF3CAQ48tMaupRKpDgJK7aflhWB
Z5gfv+wrVspFtUt9v8QcSljOmLanvYUOcpVOvLzLEzbO/Mmo4iTBSoNjhlulSx66htzqdVbxWOUD
q48/cGssRUGx3F3CoDBX8YZ7Eas+B7ViX4eL7m3g4PK+/mbL6rgEAWJlktbKwBl6qJO22y57HFQ0
IiAinmqn5wXy5vTsuly1iftunVR0Qt/LYRpQ2bbXTXqLCGV6FlENLQ42MLReiisxpm/vz0rR5W80
Sq7FPD4FIiFMy2lqEk74qpfdJlCsi2nHKxA0XXo7ei7Z8YZLpOhAsx3XC0YClHCrvirqHU2nkHvb
xBcd8606cqnPHW+HATQ6ZFXJhjd19YVVsj7FdtQdbY3mDwOxuyIxkkhx+PW7tNf+tixVsEnoMK7K
Vk96BQ5EHJpqDt8ib+wJF5F2vBskKOAOPeFekV/H2SC+lnX5CflWh2ypzr8aKp0/WPBlTqJAcBJW
3YekqMM9R7F4YwZSokaR8aLeLaiILWT8YEw2ljULaLPEac+c5IYScgWhZEN5bJzIu5c9fFc9o+O0
9QISWZrmCAxjfGvUyfXcXCwZ2Tu8R/KGNIW33siILvCwGWAustYms4BdCgXuNKMzAf/EYr+cREuv
SjeRjPnHwoZzwMcdFMHal9hBMDguXA1dZtiS7SWeFL8NKYDgiQZUz5wh8VdBeyH30Wy+JzMFWzcQ
ILvIFUDhVN3W9Oxjp+pPzNhpQpIlsRospM6DhYs59S3g0rJJ1qQaBfx6TARFxw+DjcfPXhgvsZT9
rumdmwwFU5iFGsB3g7agJiBcj6hOOEB9RSixJef0aw/sfWWQ/72KiNpDI4p3yag7wENmjHmSHGvQ
ewIZhV2aqKZMWORmbBGeBvbVaqH9DKG9oXi+N3S6RiZLmQjtF6l3vAVT/NUIo1tDN6e4ZP21B/2M
xPkGyr9PYlEOv1whSnF5+JBtpFtzGeikvfFKgpDP8yTpn872Q5hiwU4acYaUmm4KYFU4d/sWo580
DnUcCeTTILb85eQzp1WyEjPLUtzHVzmWahctNnUZsNKURTQ9Wyh2lzs8r3XGDmQXbnDV2E7XTIaz
j0Xd2yd7JmHIZKkwZEu0Al2YPK0bwCLKZnkr+i1u4m6flhTBESGvO51SMQnOcKi04b1g9+H9Rv1w
tgT7XMjiIKTTbY2hVPu+Qkv73nTA8chyYPGa+qhtNoWQD9gaMWEXcbpucp7bcnlEOTDvba3f1ND7
+7QYHoD9koCLkojBKFwMKNTX5ToHXzxIGiR7VCwcC9mtV4oyu5fRW+qUn0QKIAhF00M7A4XpBCwB
HbUjamEElrHwgLF74T3mxXM1yS8cIOudGCBetMJsnnsj/Uwm5iXsvH1tTuoG5oi1MnWS3iaaq/Gp
qhDCdFTXy3I6M5C6TXt2vAF50E47/pMVp2/VlJ8pMMb7mTBWqkDrtmqoawypcAvGLudGn+gJU6OO
GXPmRcgqTXDPnZnxWXHAXGydRPeikdXn9yloQZm8lal3zGyesCrjaejhKVFg8Z3mmeZ7tj0fk3jR
nEIj1k85kjxcdzxu5tJfi8MJO14arSefdS1oqXPSOhovhmERSe2qZZFeiJrDUFF7t93Mh6XGNOcB
L2UMqL5sykMWyn0g+vYoVXItEPyE7PZNwz6Eu+gSWjwj7zt6N3IIW8qdenlWQx6TS2A7nPKoCThc
M9oD0Lw1uGCGCeyZBWlZKLU5tcwjPSwMH0Reh82nMmfrGXSv73DVMUl2BDcbmty+w3F4M9HzWZhw
Izj6Ln2seygfuZBbIxTDevTQhGec6LF+80w2HXHK8WBRRtmTD7pDyXMICgKtMc8wkIX5Cx6B6FsT
43SgazHQAemdtSINYt0bPE1qwn6Z6Zaf0uRXIDjiLQ+G4pyx670//Zw3t5jo4hsOq1eaEHyqzH30
Yb24ynwAscRRL2DnSirj+9JLc+y5PuDeGG6dmjsypcseGPJ89iXISbAey6IQVg+NQjNrg/RbRxJ1
gSmiyxSzjNEvTbdEleK4dLobA0QOK251msx53to1v37KfOpVmwIrNsy7rBnyFUGVoOEjLTcqoivF
084W13OLhsJ+eN973xX/EcK6P+8uvOtAfm1i0AY1hUR2IoT7C9h2SHAVh8mU7iEvcBC36CmDI/lU
oxAhQy+HlG1InAeLrr+bs3kXmXnPUlN9dOoXv66ehB9L3mEOukuZ0XvC2Lqe95QO4b0wx3kNk9U4
MAHvUZ8h16v0cO/iaNuYfkcB3IXP773W9zMSxLxvcZdHV3fshrXTuQ8Sm+pGG508m+403rjVmJ8x
0FLQDTx/rscZCLs4WlmSPzlfO9RehpA/DmG9tPzH3se4HTSnAqkymaNLFRiRh+Fy5t04oR8cUynH
v2g+yn/VSsEVJRC5uHQFrF86UkkWR3nImwLGgSOH7+ngpu3pSLgmRVeeOh/jpdvL52P/73ndpKZo
/PPb+i+aYkvYIq52dEZLn/bnphEg49qJyR3eJx6iWGz/0QGqFbuQizQ5NRKs0u4g1kMWW3/Rrlr0
Tr92xTi+K3/xhtnIj3751bzZ4HFTRRgzifErh0UdXqQhH2ONZcqeq+pLL5KABL4Z/Z6T3JdDPnxQ
lblnni4//fnX8M+d6v/H3pn0xq1s2foPPRrBIBkRBB5qkH2qly3LzYSwZYt93/PX10fd824dywcW
alKowRtcwOfaUmYyyYgde6/1LZdvQNuIHrTm9n7VB+5lD/kD1f3RXReBtWEAZYESmvSofeMBbQlZ
Xf/8kuvHe/U80R8FtMwERdgU3q+ufAHRuaEpdUTqY/ZZDTKvDvmTnZUPU9vA+of+R6BEk53icMhP
f371f2gWMsrgDfiGb59R1q+vnnNRscRY3bE2FGMpDZ0tooP2jTv8Hy4rXWbpKc/Q9/xtAMBuKj2m
ZGRO2rG77ZeO41cyfbXm9gYd6pe5w478589l/9MHW72Ghv42eEv96oPhmg4pS/LuGMZJS3AwDfO4
c5szSwKtnNE8RGyfyIvpnkkVfs+nbD4OEzEDgDmIBhriH0v2+Of39MqAyLAO/4TtKA8EP396fXNV
6+DYFxXPWJp8LStv/vmv4jdNqPGyqb7588utU8ZXdxbuL61duv4rAFe/agT3kvyhoEjbo4n1TYPT
cldY8G8IMou3gqp5Yw/qm5slHytB0IbQBGIoC9fKeI3e7kdnRvT8Hh6tP7+tdSr729vCg+Jxq/No
o1z89ZZzIFrMIUKfY+7jz9EZxbOqWWrgdbJlkvjUl/UVWYLtJwf/3qEt+Yos/Bbb2Co/281EY4o6
bpNVUsI/L+CYKOdmtDuQL0nypNqT1wkgIS4lSKfPCJTvwZg99yEygzzsE7SIIQwgOjUaSPa2Kxh/
rYPRFN0aWMyM/HWCXbckqHO2FogaQE/k4AOtnEtDK2udLL5sbAQvN+c/X5vX2HVukXWSjPbTUVho
4Qn/em18FMsdB8PqSOodWCUP8KTuQjhMIwi2SteEfkDSonVAVmw3QPdYPyatVZhVoCdno2nVBux0
YH/Ti0r01t4TTImGtW5e1hCSNg8x3SF/3DSGTmiYv7merYkFr77f1a8rFdGLinGfeLWb0ctgnW8o
NilK4b8Q74VWi6yIQjefewn7APvFlfG9Zm8n+AHAqR+aEbX1ny/l7ze/9kDYKylXNDRal1+vZJ4s
TgWVpj6iY7iQIxdGcifESOPfeCH5+0rD6NA2Ptp1Ajf165WGKQjEzQxWQ1DQFUyoe+w5XQ617orn
jOzbndZ0pfBWcSoCj74BHMCb6f15S5ptuBurCART+D0emTfpnPNeyhGQ65vuy/XMWHB4p799BbGT
xmlGG47UJ+uNWd4/fWkM8BiAelp43m/D7YKTqyRsvTpGbW7vZObGm6aYqm3eUnVO+VTvnbH/sZ6X
5pT2U19Hz3Nu3lixfl8gNbII5omOdNzftwnQUq2ubLs6Cpx8jj/XWy4DL5Y1xJTOb72a/L3s0miw
tc/c17GR47/eeUvcNHhKMUlRUB3Sqpx361hyaSUJrXbo0cCloF5W1J5EcXebL+XncirTa5VT3Lsi
/F4Ze77O3Ho5DRy8N6mbcjLPOdmT+zxcJ854++eb+vd9lHfsrYNirVjRX2sdGm/SGAV4tEC0xcey
hfBpITDe94LzE61swCYie2No+Q8FP6/GHSFQHLNsv36SMkqHsawloLmExmZdOi4H8UleYXuYThEm
kP0YIr7GAXduaU9d+g6NyrVnSL/d2pNZJCDh0UIIGBTtunRoaYQ69gWtFfuAM31fkc5HdcmxG4Pf
Z4Ic6aavPZHC5uCEB9YA/FlXM1woiMkZv7iyj+9TTlRbeBkRrnJNEFvaRts4cD5mtVxQqDPUq6Cq
4ojAzhfptZgPRv+IyarAIicJAKVP8jLbwCIpNszcntaTMK5/Xm4STCiCr44FEw1a1wgng9vwz1/l
Py4b2JaFzcXFauq+KjUrs8RRgzX7GM5ddAd4kKYAx5eD9FySSuljsgdyyI19+Z22Od1sjy+6GGvI
qfAw94Vqxgu9updf1vpcjoxG57iiZ9pW3q7r5JeX0aZb2ZgPmdZe5Iy7bwAavjVv/r2ABalAdYGa
SQqJ8u/XlbYJXUawqEWP6HjnTT+NxS7X6yPhRsNl2Pj51jdL/sVF+raDcp2+sWe+TvplzwRfAbMP
WQ5yKPu1hMIna8gfp6I8iowpWimb6c5O6febjE64U/vuY4GBbBs7UXoGZSR2KW7v7QSThkWZP3lp
ATJYaOgF6DaP7F1MlDQDIHLbvgq7v0jn8rPV0nx9mT/Q2rAt+nwBgOQoiJrPXrVOAzya7AlNyaPI
1x7ftLZzUdveN/XoPgqMSbAArpoBU52nFo/walaVPPSf+R9Dj8wSP902yY6FQQOUasaNb9xuv1dd
RlJ9mzUIml0ZmMYvqoeBWV2RrLjImiHFy4Agd9eRsM1EqIp5DJcOI1KYLueJ5OHNElMxBPEjw4Pq
/DKGWUSPtqshMZHd+j5b17daPeB3AOjbVV8KJvq7EAfnRot8Pv753f++7hmpqCh47gXH1NdnpL6D
bpnTeDlaxj3aAfPFdalIZ07FL92oLMjfWPV+K5419xT1KYcyZA5s7Otb+ptWI7LB9DQpJ0Fa29UG
lrJGTMt2/DKLaV++3p6h0MD6gpID0QjsROacXU2Mejn1+6Zu0r2HmGX1ory1eLzeKF/enEddy/O2
qobWv//bm4NsnYAhLNJjHNVkjjW8ByJWmQIwLsMh+ZbE7h9ebn3EUSo5GEPlb9tOWnktg8gUJMh6
1+r8CqAIK1LLvcPZ8a0T8UsK1N+PxMS7rCYkFJ1o7WxOjr9+vKgZmDbChj9GUeRd+Rh6WAsbvZtc
EAtNimZ7TKlI4gIbADlX3in2xuBk21Zx45au/jS6uX+XDD3U2v4WVe60ByQKl2okYXvkGd3RXWkv
sUcT3zjOivjBAhe2Qz51MORMN5euOMCCphk/NGqdXd/HtMPPSU9uTpm09c4qZb5LiKM/cYZxo62F
23fnhh4gWodEiykYD3Qk630TYlLOwZ9eoOWwmKikt6AayXtADnbUEj+AC/r5StVWgkUpDW8LzsmH
ZbAgJxQGYgY8EqhP1nd7FQTaY93fzxRqhzwjc0dHnNTAj0DhoKKjIwgoE3NNYHZFmjsXCFQ9dGCp
n+xUXheHonIB4CcN0O2cBAC6ZIGDNLo2Jx8UyZVVBQi2rQ/QBm/DKJbkFPftpVHWQvtnsb/2MG+O
nU69Nx4053WhriUCcZRYkgOxEpzXf/2yCQpofCtjl0dBYda0b6bXGaqRohVMtqmlEpmL26qGnR1U
o4tnYHb3yOL5AsvU3ZmmA+OQ9NT1utEAzLPoKZMJuduoI4EtjvhluYGgjRD7a1ggd27RFAeGCO52
7UocjLNYD3M5ulf++uuTsrvtIvngadQm46RQkngw4vsmL04yac0bDafXhwdkfzxQPMHUMSw04tWt
zsppr6hlc4ia5dhEQGSYxP73Fs+Xl9AoDD0fH4QnXl1gTmEejYDQIBhIoHuTj7mFqcoxo4JR13ZO
zbXBVfznF31dFPCirJ0uxQ3nCZaNVysUAREEh0aEzdclzFaGX80WMlDN2A3qkHEY6VmO157LRgRb
t0vbN9pav7VUNWF2FMiQOxT9VDouv95Vc51DXM9LfehVBVJuSlq+bYCACdQVSkHPP1fE3h9Z7R5o
O6RH4miGj3++BC8KuF+WsfU90CKXnGXQJa8C8b+v0jw2jZYNATSJSq3dMNftKXedhoO4aJcNCRX+
Ns5F+w3/RnDDhXRvcLzjV+mk+WCletlFg2627QhIos8X81m0kktZt1R3UXXI06h5jyu8PXuN5uN0
kb6qwbWtgfI18AJUCeDyiFgZ/e4OC0S1iQYre6P48iSf4ZfPSAFLy1Q54L1otr0WU85xp9yaLfTQ
81RdjU4zHUQV2lt/KIeLlw/h9xEsFozkV23EXzB4DLb+mjxAxnRCwAxkBodexNaJgvDkh5HZEeqK
KwI91xlT4XOFFuNkDQoJGQiJXRw69wT5OPuqiYcLoovaU1YrsEveQnbcpAem2u3e8hLiPRdFuJ7q
FhQ+5TpjL6xDXsll1wTeJqwicN5N3d5M/OShUgMSiyh8P1sEVapgzO7mpXpcmsRhEeovvLHnzbqQ
AcM6Gq5lrLvPVrny0v7tGr7713X7u5z+hUH2+nLShEdTqWkFO6/PWpXvB/HCuekQpg29kx7UCqmx
V3E4fshzknOd3rUPS4epP1ZzsJV0vECNgYhIDcg/K6Z7lTJfJtqcxywphuiSKB/xrZ4TzXjZXy75
LepqWFMxJlL5TjSSwE9D2TymYnhacMlecsoTWwGtioFK6x5qib0sb2SztVT52GcY3uFVPuQ0pHfp
0rxV2bivSz3WDM7cPLEkjvAA269OE0nczYp2inewBzZvg/r7q5xGhmC88YAdlIy5vjTdsYOBCSw6
txDi1BEWPmD5swsAP4lAC+dZmX+Mw1XeEfPYEcvl4Rn1Eusgx4obU5Gw0iCOI6aLe2QG1rgFPpNs
YUfZ+7npjwQVkGsq3Q/j4Hx2IXhtZl9/CKL4B2cdzJbMpy5BjOpTiGjjmnw+c9dRT+6jjPxzf8g4
jhdRtcuxgx0VvYGjy8jvwGCSG33gJbE5O2/0cH6r0tazpI2jyV/Xnd+KwnmKI2aU3DtD5j1jiDB3
67PS9DhIRzsc3mjj6t92rjXkzEGhRicXCsVrMXPe06sSPeyeHjnVLmEO/RlhWXRZLYW9JWR9OpC7
nNxEqosupWlY8GBVMLriok9DTQVvYDMwTfw0+MEVcNHrgGCCg43KZwIXhCdtV88810OC5JV/u62o
CXcAp4Ntk7B9yJGnmbL9uWzr5V6WiPnsmhxEuyzbE8xLm8nhVFwlrSD0PXTCQ4Qk/uM4ZM17Bv7B
zoYcel8RLr51JTqN1LVpcaml3gNsGK4Rc/lnJrL3Hc6Dk5/OrByL31/nqtBXDQaQ61GwLLdVmpLb
wNthYpqthfjw0SPDadcObDNWNJh860mdgB3CR1kTGnwjRQmfoinEVyeAD46ImXF2FJXWwW9y2s5D
aB1qLiSQMlvtI3pBVKA8EMsbG/Q/3C3cJPRiVj36ukv+ujm1SmVpHqKKNeTdsIZw/ZrKY3Mq4fqR
IZe8cQD9/fWYKqJIp8TioO69PqWrFGantZQexNicAqTiaUA2h3s/ic0pWoBq/XkptX8vLDm2eXw2
mwMvwzz/VQlikLfVpCu4B3RMzj6eUYbatlFXcc4gqlhEdDn5brwPybCoyr45NS3LhUprZ19i6t7q
kah5d9TBlsCDZOv3bFRi4KsWpdsgSrC7Ffdho8Asm/d5y3LtFevm7gUNO0+c3cFa/Aa0BeQYoFwU
19x0ys6+oV+s9wCHWN6h6+xCepMPpWGzW5S5zgZwSkwZnmsCZnbL6D2nOvsmI967JbrpMJtguaSv
Jfd2P9FYKZuHlkgWgNys/C9ba5VSajUmjD6jKHP2Pmi7exuRLxoRniYfjv4x4hYEpZ6Jy7Fzu2Op
1t00TxGDV9Ql+OvZanMA7mJ9VmfJ+tHk/fy9WFjf0oH7fKm5xVcEI+HZ1OxpyrLbplX9GMepdeC6
kanU8IYqrcsdHRfYS1bEFGCup7/+NuN+JyLDOjQayDQgR4A/vcQOC68Oysu66yaRbM9unGoeFpaL
2B6pB7pp4SJO7TnqhLm2awb4Pbbcs9+F5tRqntAi4p+QrWvtisDvQD4g/kbzjRc8bJub2EZFVHRB
yb7Ax7Q8O7kZrGUh4Mdu9+CN1REblX8mP45rl3nmmC3qo5r1U45el4QAV555OocrPDXOnhWMu9ib
zRH+LSVLvMJ51sfdV1w+lKa8AtmBu8qn0iHpgSG673Qc2vk6Xu72/zEyy/9CS+c6GaQ4+Hf59Ftu
6OU3YoW6b+m3v9s3//qpv1Ar5h0nX1Y3eCnSWbNB/595U7vvsHJ6HE1sRh7E0bG7/YVasc0717N9
wVLFG6Dfzl/9hVqx7Xekz9JB429c/oD25T/+7y+WGdywv/z334u9V0ckyCvG0OlYR338JmrnX1dg
1YLP152P2rL1TjA5b1WALw83/cB43Aq6exjKzzXi1zdWfvN666ZeN2v4n82yz4SYA+ivrxxGngPt
MOv3KvCbnwG9XboHrttsRm+ww7MUCy3+WDOl3OjYWt5PLZkMZ9YmYo3stnqmBJlJApj7STHNAg1a
mrm8TNhqiCmL55UDGwIV24h2NiAaasaAvRiig+MFcosuuDwuatAXVtipQwjQc0E2Brcqm0NyE1Vz
O7Iv7ThyPCUgSXeAMw6J7xCFyYaKCa94P+crWYKIBGVJASxpouk9Ncl79CAKCOU0ODc2/sE7RG7p
jYYLoGlLE+rmmOQh9A2vF8xTe5wcld/PHj61KrkCqNlepxWXYvIXG47/BMIGdFvMD48gApg11MOT
oyz3Y6fbqaUUtcPbWPvNlVfkSNVJ4dlIFYPvr+SsKc29hEZGEj4Si+e/V94w7QMGbCSolEd7lHRy
ytrdBWUXfe4EBQqFu2sdSNl0SkpEy9yOVts9BxPc8Q3jk4buTNL5P7pqRME+j0zq6a2LjxweW/5I
pJ5aHQvR+xZXOgl07pwWWzKrkwYV6DweQbhShzlivET5WLB+kefmEOd0M8W5eys4dUR7SYgX9tJU
b5Xbiqu4JaC9r6bibgrHENc+2Dewtww2L5TOC8wbVVAcS7efrobEdIfICopt0iREFMbdclkwqPpY
F0b3GDRaIvcYbZWPEjTdTnaWsTZQQiq4oGbwy7tQOijeIzfNa+6DvkNlTGLBllmG33Fy690TB20m
8mUklsc8k4I8jUBjS9rK2e4mCnIz3/Lvxhp9Z2H/9CztiX0IpnI/eJ1/F6mxpSwdLMZ6fUN0qGdb
3blvB5cY2qJMhmMI4QaGi5DO0UX+TacEVeGjN5OGt18SvL07NRQBAX8dsyXVtAlwH13N54AghXYT
ll51TUJv97UuJDdSWovPIaGgPwmdqZ64MvH7Ni1WDIlH+mY9Z4jBSVaIPrtFDosS1W94kEnhwIEU
Noo32fMqi4zskxOkPmP/TLtfx8ptL9SSAE4OUMYHdKSTqNhFjj3vZTzJQwIh44MsF+d9AZO33o22
7KjNAcDl0BSG6anONfEOSThW90Ng+19bU0afAEdmZu+aprwGz5raO+OH6nHoyOnVfW9Pe8rp6Vte
du1HhGcI8mXRqG91DHhkU2loaTbRGd5WZYidt7Vd2z+tNrY/RF2VPw5eEtwrABSfix6y6CaCnmlR
vDviAeqJ39MAHSCdwNvIP5Rozfbt3CvmEEz3MH3QOIFaDHnEOXC4odGsmswismaCXcGhVS37SHC2
sjFpsLeGi00Dnoy0WS/DcIzWBgkQXNJe/VBklwskU5tY84BVJNV5SB80G63buZrbHGCKSR+T2fJJ
XhJlguOq0OWTEBTqO+U5+QkuZoVixkr0zEooNW5tyIogp3MiPqvEJHdWnkV3stNev20wyqdbDkLj
fQy++JGv1NuUjJPVRplK7QPsCx9CYJE7t3Lhnjhefr+2Q/ZLRWG+qdRUf3ZaGjEsZmL+wllDfWUx
5xulZw1dv9U2GQCuyS1GVagxwWiAtK0IGMonSPpi7IDqTbxTq8J4H5LoAIc7WbFEQ8GyMATwhXf0
p4absVPjY4YdBQ4hUiDmKQPEm5OgX/sFa+rg4RD0vGovaK67u3EWyTVAk/7O8kz10cwTg7U2GLQB
dVS4n8d8qX7gMiFumVhclvRY+ORjgPQE/l9llPmb0DRzeLYDS+qNdpz0BuyfiO5K+CPRnom3c1EO
iujsNnPIiZutHm733Ns8XU2Zo7Z2iXT7NgbNFGznMGjafSELsvOKtoIn22r34KJIxaeDi6MEmltY
LlzepBl2dZkSpOCW5P9tycXwd3WASwgAtEcn2NieF22mxvRr5mDOj5jlwofQRdfQBNfcSc1XPVg2
0plGP9JFzy9QIaaXAK1YiAVAwpMiF7DZkL81f8pJLO23oYnHG3qbptjnKSv1UqSqQT4RkSSJQkb/
KAulPkypRFPEgJjYn0qkIEt63TzP/RDdQyQB9xQXSYeAxx9vTD7a+L8rZCBhmX8qwGBehKkp422i
19QYlYXpRhHQnctCbC1N/545urNn6Gp9w8ZH0mwEi4GGLSx5CingRV524wZ9O2LhCcpom4JuivEL
IhI5BYDwwbqT9vwNfxVCnR5p9nxVqjmzie0cok/CISljR9rz6gGbJtNvK5vPhlVj/uwsjnpg+a3u
QBarYyiw1Jfsz1dKhhOoZOJWv+SYOKCctotW5MSsKTkDWYFiK3u7RpiLiIbHEK/217H3ujtXW8NN
MAXyTujW+wnK0toaumUfPR6kJ19ZAaRJoWJMOdlRuisey5RdgI4l65ofSzygF/DqViMF9y0PPmOL
AS126/4DkTL9uRcyza7qYdBfPEhWz0sa5NHWjuohQqCdGi5cEjGUQvowSfeMun0g+wJrL9GolfrG
7hLfK1wJE8tWldurwqdZMmyMFRSxDUlO+lYEbPlbd1jc6YztlGmR5TQuWQO9t5ucrOUhwIoxtRYI
fELZbsBMfBryJoJgBMwySmwyl/N2jg4UBmS5MBXVwyXQOfVBLU40buvZy9Q2D2hM0Ny06D5xJeyc
Oea+JwWFFpo0T7XsnEsiqg2BNdoOGwD28ItqJgBX9Ba/1CqoP6aT4343qfSzE26/Mtz7so1hLMMh
izYukNJn5kIJ4N1eD/3ejT3zXjgqhG8/OHAuTRoGLRaTPuHpdHq4cCONYW6aIYeqJkxCNDpRc1Z5
iaPX/TR2NXdUDsmMQihz2fQF216TCbIMDYRg4nG7yX5uSE0qWaczUo4aHCTQqd3pVsVxK6EN5sM+
iucQ0Ct9E+cqnfL5AiK19T2Im56QIPjchBY3RmwZzHVfnXoA/p71sfU1pK+p8ATNyTf6jKwCvsxh
dtnI2D8QIuO6p3CoqE1ce6F/hKmKzdhCp30GYO4QW0Bge0BmQDKH1zMMjPeiyOgnZ6NCPhkvGSFT
pK3X505J/SMP6KNOHDyNn2a7pmZs7HS2OngMET+NExIiz0LOQUopoKU0b2GIi7nZymAy2B0K+Hmb
zraeZjusvghvSyoEyUyuhc2Icz0mbZMf3Jik0DYAHww7jherQnnbJyZkefAiIq1AakB33xFmWZxC
3+M4PCfGvcfLYO1HMpsOsm2yvfYDly13CO7mwEOyp3uz0CnKn8AR2STVls4zgezJniEGcsSm1P4d
iVfNVRJNI8inJNPvFxu+w150fvTBmu38WvYj14+H4nFyR5arDAdccTRtMn8KXNM+tA3Qx128eNO8
61UIA8Seq/7Zpxp8QklCYH0JIyPflk6A4SvndPPsmHag42JF0YNbzSVbbCvd67F1wIRJYFzbUHIX
0tEg/3Jn9/P4HDO33lVLnX8YFxYVnHEBeDcrJysLO0oYUVR2aJtOPeAcIgDSab5wuREperMcsPfM
TitSunUbz52diG2sqLObnGo+pxmeDIJZTEZck63iD2uI+ftyXgh10g45S7mG0iXqRu9HSTuz9BMH
vm/djwLrlLIu0iwARznNcQ6TL1L+QwmuGaQHgWJICpw0q3dhM2Rkwdk1uZvhoiIszQQutDvLnbm0
2i0/2l2eHypskWrfp5W4nJaJgLGuXam9IUTxT1Cy/RYpUB/9TDUJbZtaB1RFUGAoEW0ksDDrRlk+
it7JHsZWmB8yD8sTc6apOvcxz2jBybjchHjFaGWVoQD+Vnm3uHtne4M5P/M3MhQ2aM6B8tAncazh
KhuAgsMYuCwOro1Nxy3L+r4hb37YdihgvE0TLxTYzDvCbes24g5oZ20zom+64TA3rnjQReNsRiv7
CQpw0pt0MlGIuVoHtEdz0H8nT4X2BaIoUoIBzo+bqBt9A97SiAu8mtxwAU/+uUu85q51wgr0f+pC
3nU9jnnDVJHIgUzrPJrQq5jnJz8wiwgsoDq2Lzkle/cqKUDlAx0Y8WLmMBlvpij9CLcy33Ucvsh+
ghjXuhnwf6vbEV8qN6NUty0PwG1sQZWZVQe5ZVWbkd/nk0E9tMDndId8b144WCwxs/4eqOc0jOKQ
Ok18LGq7uB/dLr+D/VLuOpuqEaDh3AS8zOxmVyUDvr01cxYBa01xMSXqFo5seyjK7NSzsWEbGmlx
puMdgjHxKIocj6hLFMEub9pPRTD02y6W6v0AjXYPZ38+eMV0S9zwNILO79UJkZ9/Bu8BXHusJFJk
z/JXiEYdXyJXgzHexGbZiyZbKW0lAVJDwxS9DPxgu7B4/zQt3jvam88Vxua7cBg6hMuF/6VEQ3Wh
I+l8lrUKfxg20C04JQ5nWck/cXtB3jbAOW/Pb0ytu0VB8IEGU01UvFFbPeRNJ06EpJlqM/qz/bCG
t1yi1e43cB2rk1bR8BHFdPo16MVCsI2Yreeh10X71Uk5BlEAxKS/FoERDN6TdDSspHLakU8fQsUH
y/zDQlN+NdsRleUQ+WxgyUSy8Mau5nQ8ZAPVZJoY/963XcPwwdQ9aNtx4IwjKgc9UGyXzNBsKgUU
veyZlUHCCBYTTsnGjM4IwtJR7UX1sux0vLUvzFIX4qL7OBDQPCxuikHIxTsRwQiLhMzRYtoyyXRT
OqtrhJ9T2OprB6nuZ4V5By+tZFKxM63xzz5aJR/v7NiGMFQiimgcTOqnwdmHRIK5YDu24w3ozgUO
rIgoTHs7UU/Qp4hJdMM6vqctAOWqd5z3bidAxodGsCQGRo07JOZ4EKuqZUwR53r2SLMJOJwnWTFA
1xikuOqbqjoBE6V66gyxzIfSmrqnDtN8d/yfbX3Sr/s3zO4/jj/Lm2/5z/aFafdf//ev//m/A3kH
qWrtWv6hP/qz+Za9ao6+/MhfzVENbRrZOvgQgzxB2/Qf/+JQu+9Yj8EHoRZBiO38La7Llu/AZKGZ
dleHlPJXsedfzVHzDp2DoDmKL5AEMOZS/53mKOqfX5UFzKbIpkCuIunE0ut7LVj0e3AfaQoQwyGI
G7IaNVlfKoxCBIv0V0VC/woDq7xUQERPJNR2Z0SuRIma3K+uo9TqPrkjlSRBgFHyWVVsDNzoRXnO
8BiXcHJTo3Epo/QKvcHciqhTIKqUGuOrxqvLJ3fx+su2oL930QtFe6EHJjSQDRO04AaWCHl+x0oI
xiSuErz3nOCICM/CH4hNvXxnBqOcHRF2zQgMZE2FmAcAPZcj3bWPBLwkaHk5LFx5iwgul7Zu+gti
WNSnehklbHoQKy22r9ty6SrC9NYWnypEeDEwwMIpn0YtTvSs9y8kkuGbthjJW0VDGtMrcwt3uJBU
kGI/gswGnjpH8oMoOEQdUsgyGXNVQgqIwUXwTMdX6GLnptEU3EaayNG9Fy3khJSM27NNS97heEsU
gG4xVLpke0pScTJmsbDpCCW0Mez1lBECV39ePdcjMSuyt+J2L+K5uSrnRHinEvy+u1XOesLGCj1T
ekmwFEEq4+hAtZV12yLu2JFGSJvjRo1V+pRa5VLB/u2zcs2U5gXcUKGAoea8Ta2AmKpCu1hJk+GE
m3e+4Sjv38lxIF2DPNBm2retKD9KxwGjuST5FBxVuGrIm0mEnMCa6VFUqUZELtQTyxo82l71Xr7h
SMqlMSGC5c2YKNAWXis/ET/Yf6IwcIfDmLmt2RrC5HpiEDQJs3lffCAEt+5osdT4iCoq9PHsTl20
GjxCDm4vCyemJBbRfl1Pk3Vl9dY1tn1Zbod15WVnYRGuo7V3DKp4XIO3I6oo1usQGvdP92URZ0ZO
hUSPhsW9DRb/7A5WMu9W7yZxlutO4K57Qv2yPeTI7dLtuPj5tFUvW8j4sp3ML1vL/LLN9C9bTr/u
PvXLRsRBrr1ozTKhs3/ZquqXbUtUTf+sXjYzdqSCeebLJpdX6UhE/br3BS/boHCK4D5f90b5sk3S
cuMZHF+2T2YcbKWhZFetM5X+6F+2WppYJFwFXt/s6CDSE9mMbmTSDU80bno/Rq3J6YNo+SHLJUcd
ysPksVr8m0z3MLn7ZtTdhvk2+A1J26DXhHHNegTk24rksZCjOBIluuw1SqOr0G8zjsxs/PUkAzhY
6ajH69knZBr4Slw+NiPY9IG8CNtjJrllXFclhNzkxQdYKPsua+fhmAT0LM6A6dWGyHvvWvQG5gRK
ATHyAk7kbnCLxdV3opyXKzmsCmsmDHl/YckgnR8919QWh/V5wHDmzJNKD0MvgHgjCUvoP+ZJiuPH
qqP3Y1+o72k2EkFFYV5H53HOiuU2Jml53to8Mv3B9yoFRdqEE8c+3+8cc1b+0i+3xEXNOL0sK3ns
ZnSbm9rpPCqUibMCju1I9vpEogbLPAiBiG58iOr8YOD5fyunCv+zSfYrXmWiZ7GhKe5wcO5dsr08
Pu3m/3iVP4u+6us9ybPVXSuH7mhXVXr4/5v7CxX3DZ4t0ZpkVSKc/NMG//ATem34rXi1x//7J/+1
zxv73YqWdJAi8vskcoJ/7/P6HUIrzZyTGsD2lPT+awjqv+PMwhbM+UdSCRjEE3/t87b3jpAWH4kR
ZQMKi//ePs9vfLXPM4JcXaDmhSLoUKL+OoyMU9A6ToIBqxXde0Kk41POCZzWGncrbJrxZ7KyxS38
khxo8nmrp6w9DJFyTmphLuCTbwDNBWktDCp79O5bNZLGCSPp3NExhmmVTjc6QF/kmFCf2TsI/TKB
96ORQXngLJlofmXVfW+putvrBEE6sZNrhhTVSfTYVUV7vRIzGvQJXRxsGiRil3paDCDCkcHTxKQz
OyErrdlRR8qE3iUIzyvGJ3qTzX4uzKVhjfysZI7VpER+uOFyxAh/Zu2eGmXgT1tkoKOxw508olf4
WOSa2MOiVuOykdnkQ0xxjVVsCz/Mb9PJdUtOdWRE7iLL9677wMTFcRLa+1g0YviC3W2Z6e3FHRLX
JIAPF0+w90Wa0hWBXnYzp82I0daamAR1uElvuywbHpvCiwGJNDFNA0HK9zDON/ZsDycmvuNTSazC
V5LPiM9ss7a97dLJinYjQUVMpmzvMRCjc9U5jvUQpVqsykh6fJzYhvNcDyOzJnICGifknDeTbQqD
cFrfeOYcqpT33oPx8UrTnMoe8BnZ1B3pbFNWfFd95Z3bSNBYH2IheZPYMDdo7Ev0iol9K3OfkSPx
PTj3CDbLNsZyOhodKj4iCyiLzWw3ZzdCEk9s2UXJiX4ve2kl9Dii9/0UW2zy4WBvUM5A6EU0yr7W
L+M3GMrJxcgucs0N1SfBOrWxjooA9j2hV3oHmmc3TC0zFCY7pCY16qStPH7kRNTtlsn6T+rOZDly
JTuiX4RnQCAwbXPOJJPzvIFxqMIMRGAKAF+vk6W2HmSSzLSRSZu2t2iSRWZm4IZf9+P6yrGa8sGy
gmpdUXt+i/s72TcVpRMWzWa3aVTYdCWgWrA/sq94ReOjsDqNyaywP/SyLKdUJvEdDJj8POe8UdvG
BF99AYcP1b07FnD1D6h1TxDz1yZqm3WcD6TIiombLkVnz8pt4l0yhPIzQ/i6yuxWrtFsmh2+L0QN
7v62rd4rNNOVEzDF8TK9dLB6EloF+loiAHrZYzWZQzvld0o4a6DKJ1/tkmBhKQBvh406WDaqp4cD
9eoKVpAQeHVUl2RPfA6Ccwcr8CEqPL8+2P2Un0qWoG8dt4sn2edAuhqyJqzuKhTclZrcivaQ9rK9
1LY+8IDzbuABslid+p69ehhR6xC51EZXjU+gC8nyxqPZ4OC0GuPrXDUIKIEhNzuWatciZPaIIXH3
ZZcVGveA6oWC5HBF7TMOisS3mct5n8x3qczSe6kLfxNgfHUuPNDkTtHFLjZzn2QPUxiySTBzWm1d
SrHeVZarmyyT5jTbkHKwFvLsN+648J2Q6MpxcB4ioYNDuGjkYUSn8SmMJvE8VIE5+Gaav6Iyq57m
XjTtAaCf/OL9nf1O/dEl+OjRlIEbQqSfTlzKcq1RfqkdToPgNpeasg27EogIeeXqXdHkem8SzVKe
Ws90r4aivk2pSXsayZygenniERHZBUClBf/IqvYp7hicaiN8jRBPZ5zcD/aQ3C4md+4p8/D3ucn6
a+zl1XfOW5hXNXbFC/f8/hpUnruNHVA3kCQQf/IyvKnraqE3vp0B2wTosgAplXOItEmuPGfMr1lC
FwBNPI9Vcms5zhOGA2rSA7+0tnx+g5ug6Kv7sE3sB7QXmkfJbLrpSS0meE7KynaxH8ztt6FWcM3I
3a0hi+Z6zQVt7Q/hKb9sPKg8xl25iqax3cYWVn4EVA2RlF6Bk2uXKYXL9Y2dt73F9tajZ8xF806j
3jlMoVMh6/Vm7fHB3dI8nu1b/oegzVI/duwyVn2XdVg7otsxz5IzW4Xwu3Cj7GySuNg5bNpPGoXy
KvErcQh6z/4qFhpwx9GjJ6ymgIS+1eCKJBmvoUj86zjScIqGfFhzFtVXlGqyd228wWyDqvpyurLZ
goOi7Be816uV6p0fDq9cQ9Sejz5yM7JuqkW6sfJi/JFN9ivvVLD1O2umXt4BG9RYUKhcfcosqffe
4MkjAuEtHYjBhnJri+RiHRzQpOtjYsUnO2k9ZHV/splsrfltBhSXwuBK2nvuea6LjcdS21aKzVKX
TyjY067isrxrUvVW2pSQllx2NpD4vnJrNOVJwDihvzQaSBcl0gDDHZZp1+NVeHBGmZ+n0VK7sFD9
hUZxBQfhY5jUAQeEAulKxSG2mmFdzZNzEzbi2qHMggAT1ye8dG2U0hcVNcjfwZBjZEFSpqhhmdna
ehc1NLX5z6GR1R5i0ollEX792KMKebOkKAwbJ+znCl6EUYexLT+ruaxOfukP7y6lMNGanWV2zud+
3Nepo7mQgFB+gCfX7hdt6K5pySaug3HC9U1hcrUTVZtsuhmBfhks91cFpCHb8ogHICqJYjDMWAn3
ZDNk4xrjAM+BTHQNSAfBqprSWm58dUNNZuD3hoE+pUO2Lok+YH1ijB/mdemKc9MgTMxIDRxVc/7k
drZ217gaDXuw2EwvcZz+RLzd3xcPv5Tpz6Avh13R6Ry3RqwfMp+4adN7FZlNukv4pS6zfJ6I+3zM
lncr0VhkKGk+5W77J4W6kLg3/bx2o9ZQ41p4Xx1d3h8JP3iVsIXbEgDxV1VlBdSAq/a5CUa2SFyT
SzwwiO/VcKfyOHkpvErtq4t9lWRl+WZGqXYUNsMNC0v8LgiDSXswNZeX1ahaRVa7Zi/lSVnf8Qww
e7q9xpvQYwcvGMheMiifJ/ai00mLMNmAMbaPChcvD6TAoyCnJi5LXWV4pOcUUmTUL99Ce/aBAj4S
wN6CP6DCJrGpHG9fpN4e/swz5aCU5HkZXmdsp8ptN4JgTWCzzAsncHqrsBrYire/XGKDTCe8FYvJ
31IJgT6qiTj3BjqRb218Md9brsa3QIbsWKiZOGIVN5/wWBW7DEYKr6suWMHa3tGwBftsEWgFbRje
wyeFXRZrQyyli8+1cbDdzbHYKZp/qJrESJy54iYZhysh5t+O01GaO/KYoo+Maf9ngHOMTsXSWDBq
3URFI3d1Yuhnxaq1x23NktvwVEG7Hp960JrPsxzK9ZRNCBkOdeGXhVcQEWNFfCCBOE7IWVShbYsY
J+ssFaBQjrJ07brTO19EEIUt1leLOrCNczvfgcWvr1FS3Ff+3gjx0h9qxGmVBTuVFnLrJTb9XkA4
T0EcBPdq5FkOBsC+SnVc3AJFKm/meInviXWHNHbWxfWYAjSAdVp4d3xCsb4p6mauuYdUgNeE92ux
JwQcUAe37iScG28Q/omVgfcrSuPo7F+Q6plJs0e3pZjOI3ZvVtiUsnfLqfozx2Z51EthNp0OvnEn
RIcAIRHycz7c9NIJ36W80Mppqa9X2HEAf85urs6KOBmTP6tONMakw5vvqZnTo0fNWKZ6V3J1OkRt
4B8tL5gf4jzvFvzRw6nJAvJcVlSf3Imbv3G7+naq0rfGD+I7gsUF1p5QH9yAWqa5II7ZMoOTfQBy
mvnOtmqnZIODvLlpg5wnHRHNrWJu2tY2h/MQ+dD8wIO92lxl+DOH1a0eOPCYH5u3tM68D9q0i5OT
1LyB205eh06vAnC1w6CQLZP0PhGlRe+lPxCoXKbvmGrxtZ/x3ItDwU+eu3HXBTzHpyBIrgjyPfv9
mLyGdAOuBeoSe9rxvW2T45IU0Hx6kuJV+TkR/brjiYorE4B1s7G9ge4R29rYEMnpoI97mpXNdwbI
/amIVHVCI515W4/j0fUc5wR6tdyKrmAHUhUx4HPKjWy8V0pfyhHKH4MZ5icJlXskqwlPOpttrOpl
+z1b6XxV4h4CP52VBVGfxtrHlbFBw3ProyeQPx+i8C3mJbrr0qK9Q2GpYU806svmDXMzUMhxzEVv
2B+TmOLqwzgBSP7QB3N/riitxqCezY9xjMSJvFR+Fk608KuokvLBJf3mMiaO8CeBoceWZBNFGZBl
LeahGJeA4vradd4xllkfFV71nUZEO7DvjgpUyxIzwDJVXHr60LlrQ0Ca1ARsurBoqvUYRcUuVDPi
YGQIwnCTA5GoOl4vD1TB21xPhneW8feNVYPaiYezS32tDy0iaAgH+4PfrMcs/E1NFB656HqqMRUC
bV1PY409PxNrxlP7hEPJBkVY/ULKPWD2ewqHkG/jjBnVZuyri7KeD10YJDvMTvoI2rU/ArTv37Xd
jJ/L6LTbiJXsi+WJCPm3ib8tZibCU0M9rMfWi/a8PJJUwhic3aVU134vq/cgjAdmI8rKGpuRdnAt
i6cgMiUQNJHZhwhTALVNjjVd67rmiNdZFe2Fm3pUcjc0Us5TE+5ickHfdjT7EkULi9NcxsEHviCf
YJyNu08xIm2RraKb3izlG7A5Gp3SOAOz506fPgXBPDuKGtvwMIMjonPuPrGs8VR4y3RPKYUh4WHo
VotYfmxj8pnHBaXiIaqi9pOmK+iQrVFviucbR3znHoNZVlu/MO057ElKrXSP82/ogRGiPDb3PTw/
i4llpE1rScYnq/ZNsMKQ2p19r/G3ZpjdZgXjIHwvO1fvg078zrCQnmRKUnI1z5l7Fyaw4Q01GS8c
HDS/2lQQbJTlDSCUF0HtgxA7a56rt8ErmFypLryr+bizGy+bm7gdvRtkx4VAR7fMmyal4xd8jeju
KO5QtwzXuVphNZsPbS4u4FAeog9Jo9tolaVeeVR+BdrVWdrHXDHDrhjhaEEWkdxE3GKuReIka13W
3bNvW6D7LvtbtPzkReZhto9bcHeraBmpTKt9sfI6s5ww3qiTZgfyhvVhfIqYQu+JhfA0WXL3pRJT
dopQy7+SYOBZFJvlxls85a6wOiTXLW1m57ob9Sp1UJG9vPSOthonjXtjEc2aJIj3OUoCGauocO3P
yncKjXiwTK+0tgdoLXnERj7oJTnlBF7olbV0ztZtQm67OraW3RwU6sxzXL2zLlEvY6DZTivJxYAC
t9UciubWDWX47AdFQDUzCHLgxh5Je1HdeHpmxMr7rtAr2KLjmxP0/saz8/Q2lpPYt51DdZswhf++
4I5kaKBsvFdheWUVbKKqLA+aFZYnvQ10nN/lnZ/w0oafyqCApLm1XxCtdvbMHZzfw1kL1OmRmkM/
DjldC/ZOkP0u2oND9enBwbKwaa2yeob0qk8NPfTjtl56/8uS3C8mvCzJJip8nxYyS1c9mpUiFprR
Hc9vzXhr+dNjFuflOZPkZT0x1WtvkniB/nf13/+DuRbGCIGa+l/vbc+f6WdLiXDf/ouw+7ev+5uo
a/8V4cG12WvAWrNpd/i7qCv+Qpgk1eJ4ZM4d1o5/F3WF+IssOsRWpGU3Ir7BF/1D1GXZi6rr/9GK
KRP+nyxvHfs/5sIlrBYJwYNYOHwewjL8K/45+y6GOZx6YU1ka5UYD37GpD2Nnd+vllT+Too+wnjC
Q9DdTNG4tKzcLnYh549zyAosxuUgZ+KuOxjQ1Syj6IYdyeX/UXfi29U+p2i2cMZOEt9S+8fDVP7x
M1EFX6p7r82yV0t6WfJoz9I091rUJUQqggm4f2XNSN9C0BYbWZq2JTOsGBz7xS8w0I6451ZRBUP5
b1bAGQt+wDW9BjTdJ85vmunlltJTgfm6GKKjvji9RJFaggFiGauNkxrJ1SZzdHFrWmWu7T/2Me/i
JHNquE19Tyhp03rNGN/Ef8xndciy5QHP5Vs+LrOzN5aNc00HnLtrE/sIulmK0LRMnHLXkiolPs1/
7HACV3ML1YGbxhpICU640Kr8XfvHTTeLloJ5g3iR33auzW2PlMCzr9GELNudk93ShWN5sMLEFKd2
UgOiLXlIeLeB5BE4A+dEgbv4A0UPU2mtbEmvMYvcTX+xFJqLuZCylebaacP0frrYEjv8iV7b41Ts
pqIZNkVUeVs/Ml2/agaAXJEss1e+G8mfMWnvQNmFzZHalwts8o9zEg+afChm7MBn2uG5jvnlICPi
6hfPJYs8iwxh42PIjAGKLGcJHMw6JQEmXO6uC50OTBn5K3cUM+wHlcTjGbM4PUPeH6doaIR3V0+T
Y9ZZGMOADu2e2McYlahozYh6RVoED2pH5CcCjl6k6grZB/Mo+3zOSIR9OCBT2Pcbx21Es024zfWb
/o/xtXPTLN7NRTGWR3tuunmbVtBJoU0qnnAyURNb/dRiXXAx2KqL1RaSHCbnpG1/mi52phPvOrJX
9h/T7tiyHd9QIROt0tYejknZ9Qnw/2Bp4XfipsXvH/sndg/ul4oIhB5SZwirbTolHX73SPCKzW3S
nFzTc5XJVFtc9y1yZ5sFdwFu9OcOEM6lPFZbR5bM6Sk0JrBXKLfqNaxz5wGbYPexMFJdRV5xGBvR
s+XgR4vHy/CQrhqkevGUtQkObofyT02AXs2PjIrLT0Xp3Hn0EFrX5dCkzi39fLjI4edBSBf1osYD
paPVmYLUtj9MsiHdYOdj9d5bi76N8sDWmzZSXBlim5stWU1XPuk5peDH5vKh0fpDl9qMovaugfSm
ELaSOQtWhDgS52pwORNWXVLJc6ucgehC2swo33mVffRRI6Yt4xnvdiexFqqhmbI2jcZQKUM7frGW
Mt4voMrW1QTjoVTWgMiZ0o3Ko/o1oiVvrUl9B3tHt9X7XCZ8blTU9bekgCBRyKq5ok9ufOoSP0ce
nUvOgjKaTpmU7h3ZEIZZmrvywwA9altnDsT03B5FdUD7ls88oLurbjbJh1eQ/AXM1ZfxfTFlEL8D
8ELxHjKi2eGrTr8mZel5lachUZTFdpDvdamfMhb/sDMCII6yrBsL4qah6SxGd/1RHh3pLmhnlKQp
XF5IsdXfmivbhRvgTsk+5YmDdRx3KGZFM27lmJgbaj2sYywFJvIxaUrzqEyGPJFinpSbFNtXR+al
0hgwRaxOo6/KC0LBdVjXQzPNwYRLn0AMN2N77dm6ex3zObjFLdas6VK2PpwExOVzmEPj3piJDwoj
GjZD9FzvIsrwTPuurJmKeA79vdca3p7p60KR21c/MNUzeeX40It2B21Eb9IOfzpHeOVils34kTLJ
9MGXl1tBBz2BY79I+hMr+Kh+AtaFPcWhr2g7Sh0/UMlKNmkuLuEeRk/GIs/JzLaUeX5vD3EgV4NN
XxGMQk9adC6I/JP+rmY8JBkd32fpxss6TDhy1rnjVlvFBcZHJGyHuzgrkicspHW5GZPJ6VcwZkl5
O57mnRh5NXsprlzmOcKfs3BeOawbO/7y2WXI9O8hBFuXqqy6wrcw1EoBqLv464SXqodMs9ZaczaQ
4sCw6Os1y0FbHDPYedylSM4gGoCnXDtBNl0VbEFALcnFIsZE4nOaGoV6zHzQHYSVtfGuJ1p9qMs8
+/GnSL9is2jurbHPKnZl2fJdSGDG+Fg9lhFTPoTNhh/Rc08d8gVcnCyKQ+dRKr/KMiTYdeUvQq7C
8PJHqCkpsE1R5XddscwMCK3rfoYa9yt9W7V6mrF5nxsbFhNh/In1gSzIFEQDPagrgK7VzUSX5IMb
puOLoRAYOh+eix3LogVjjR2y1gmJ9Z2LaJmfxsUO2w19DzyOIKpodZjYG/wKjJwPlZs4N7FJcbc3
FLuXqwZhSK9qAwUQ+xaFBk42pfGtxCQ5H+QAG+VuDn38nZYJaAdBMn33vdm7z4V1heac0XbQVw9D
FV2WI0tPvd2FvgPNN9nEyUi/HC11l9zDV65Ym2aKM1PYXeF+eC1XZLzqS/jaZ4P7m4RPTBRyaj4v
5K10TfC0ONqTKVacMRffapI/zkhWa0oWc2SaCzdinET2YOk6ODk6sMV+dLkCAZVPNyWxPPYqSZKt
qSlHI1/I8CFhprCXNVSUKYiXkwWVp6VoCiewLElIfaROn1z7Y2HWfpMuh6myB/KeEeuBVBmyuCX/
6D2sW4MPjZDhvk8Tc0UfAW0xNkr0tg6yOQDwC3l61Fb7jXE9+ZHGT9/Tbn6yHB6s3FMSSNTByFYy
m5QkMuZfpH5wuTi7OYvwM7uLGI+y5l5C66my905dCus05vnRkdhOsbmF91Jg1vKKzHkqCUx9eA4G
wRs31+NvPwxqw2xQiOoWDAmptDQ38Jg8sRTkRkNFo7ljGgeTczF9JSKJfoyss/GlIc3Gfb5xmh/t
uXZ7b2KIPVvByor7d4UZ5zqLHP6MSYJWT0FMrH7cpOTqGXF9Go8xORafp3MhCJk4TRWd6todHzWr
+XEDI4H4AT1Q7rGZ/Gp5QKt8GEGJNCev1eO8coHS3ePMIcRFVf0Z3T2DcDd39jqdWkAGKY8sCsaA
/gUynWiAQUy98FT8/g7LQUrjO33XdW5lhzjiwmdLmZJ1ZGuwJbs0EPhBraJsI+FZzgzy00p3evbq
IN1iIBPoRTjXOXjDF8uq45nQgx32x5AKjPpzprJH7Tloo6eZHp+fYdSuWiWyramp6/TLMBFAohHE
OCeXevbrTjRBuS514rwKjBUvPrPaTdd7yT4qLwU8ODb9au9Vviy3tpggDc9K6bVbKPnNA7Lc8MgK
6edhrf/ax92naDU9QNNYgkNJRKF+E7LQr07msRh2ojTgJhpjCFtb2Vy/6GRInkxToEuHfpjiEbO9
R6PLCSyeolr8jWpcvY70UppvVKh6JS3QJ06cbSdm8k9nWvz1MKePeSGco4XCDnJ78tzopMny+web
JrfluiAbNsPjq4f8JmtGV2wiYwU5jg1CswehOn/Z8V8UItk8S9I1Fd9hssvYm6Osane6GnBEP3Wa
1hU2RIl4zPLCoTZK8ihP50I9tHOXPPDeXw7LSPZmVYQ85jf1Mgx3WQhMP+pcnG8oRDthMRVkpfxF
/h+Tv7oEJtI2zHFQ5KTGXukjT1GvhIrTVcXWhYnBtZ2zcvVwJ81ECga5ZxqGbItLZDrZVdRsXZsu
gLEbP+jLyvRuQOKJWTUGSECob96NnqL+AZLgsk+EyN4Uf9tjXU9tsXb9umgOmRVZ/qaoZJZtbT/F
johh0XrHbDtYp9xShMgHCj+eWaAjJ9fYWtx1Bf7x2y5DCJMxD9qbhD0Ee8CgKxqe3hG6A5v9ctdg
9OQl9JZ3qujNh+Bf4W8gnNrw5fh7q410VbeXbjt9gIEhg5c5hbzNUpLHDLicsPkyMqwPbXqKIXb+
qmI97yB9lMfWIYtxGFk2nrk0hPFJ50p85Y1yYZZxndkwZCzBOgUIdIG5TdPHJC78AlFLCehbxFvo
S9jhEbcWUL6FW+RbPsyOXpmlGL/4+PrXXVGS100dm6c7lt3kEKdpyc4nLXfG1mxRyV1Vt8JmGNrG
2s6cU8eGw99xI7bZy2ZWzq2K640P+Cxb9pEsxIfX8wCDVz1wfyXEIC/BWXyWXJQif35u486RWP7c
KIcwU6c/o26940gZ2Xs1AcHvUq89FIpjfhHsIVYeeZV9W/TNlqazYlN5NPJRLMQ1fT0T7aNcU/jd
h7R0fJsEo7f3nTZFhgzZYibASIsd6pB/v1DX0510I4g0wNfx2f+A/dmSU8Z8PJiE5MooqBWitY/c
SajCKF0nfRb9ZNDmHt0ueU4jGnNR83yydjWGLopXgx2xHHsfFnZ4mjvHECrS9VFNmboLRqo5VUtV
3ZZnc1lu52zoHtrYOCu3HYIZFHXWfec9WKpdJKK+ZW1fl5cre/+j+mW8hSPRkEYUNpZJr0kSHtLT
bH/Knl6mktfhN7Gh5QEUBh6lMvOvyfD7pOcSuarS2JybcblKMM/0qxKz17zW1XgopP9NN09+V/gJ
SwVRw2BIuSVhdaGlj6YlM/ruKyi7H95uBEcrYiKDn/1QQlEdaQWpNmUW8vfOmZAhXNzIylK06UKW
L8dG3WEj4gHat8kHM0WFSJjN/qMsPi8wb7BHMaXZU+1uspnuB0c23rFAwXxE+7f3bUh+joNzAzTL
3TtZHbBTtJxDjF3o6KrisNQsgtgeFPlGTare5VXrPraOM1+RZrO/olbWV+Q9zCd5D/IncUH8LOpn
e6JZsfGTLYek+V5YMLGTKBxNVtwLT32hGbq04HenEsrSn17hhzPtZNq7ngcXG9jETF9gH9vnuTIH
RW6Wt4kq7kzozje+J70WKb6crw2oj4gwTb/8mvMOj3DBBMlutAqfZoyL1/MFXuR3+JnSqSTgo1gq
wbbPf5UWbeQtltrLw+RNR8A8QIWjm3c+h2jv5/CvFI71eF81UXIAhbDXZVjs6z5F1HUV4kfhq/6Z
cRcrSjlT5zz9uXOQt9xAaCx+h24akQZslgdSg8u7Uyb+A/3uAyVwKTBKLeTcrWp7ACDlcVyi3Oy9
pjwakcDgLx3/dgBJxi80hdZaeE3NsGNVcucOhIqSoPeux5L76RBI/WZa+ypwZoKythd4D2Uk+4Nm
d3hf2gTuJjutwjWw4DdduvZbbFcKC0rb3hBBcrZYo1k3e0QAy85sVC1BNw5QQFLt+VsvyLKTogJD
u/NwcKfghtCdWUsdyKvZEw6DVLQQEwMhWsM74Y48kp7oEms78jDe0Q7BeOcn1TUHFbDspQ9fa0tf
POAs23Aj4E4gJ/cE2yIa95k9Tk++P3U7TJCEkHQ0eLdYNkPC4bk/n01pmS0n7swmoS53mLM0+MdE
iavJyWkfRE0jkpt271Ye2k+eD23t4uvrnpcxYtpLWFLrKbf3QVXYvKq0Lyqf17+tk34bdIBaTnoy
jCEmNZvR8zzmnKUIvqa6/CSEThF546AX9Ev1C+dmvOd8aB7YVBjGodi6wXQDQiM2r/1la4zHqgb0
kqpmTxXnSDBqekibMrhRXlw5oGtGC8dSyvVmFRsvu4JmUh8Duw1/2b17Z8WM3R0mfQayeL7z5exv
J7zaawxC1uoinOSEp/fplPdHf1rQpuZm8V98UXnvHphhuwMzMyZDdhWwc9rP3DfICDLYEp/35i/Y
ZO4zTkH7t2kHNlBL5N3RObZnPbL0N8oi3XZOR2InfC9Mhkv5renYhKnpdtOB0Xv+TXtjdVd0njiQ
l9dbPFP9fG8XMdnwGXxR2Dsx+ynMCttp8RLBOMwSgYx0Rg6PZcpwb7sVS2aPBExa/i9vDP7fxsFs
R+Cu+m+JWefPOlND+y+8rL9/2b8vFiL5F4VBNhxmjN8kNiQRs39PhUXiL9YDPLo4Xy/IwOAfbnHh
/cVnGYazQ3jXhVYCUOpviwXh4hZnsOY7ut4Fxfs/S4X9gWL9MyDV9jlTnEB4bIMvKw7+ef+8VwDg
UCvLLqJD3mbVYU5tjs6MO1mPE0v1XOHWXjI9FdSL7iHkQC9Jl+m56nrrkcv4a5tE+mzpcHlI4mq6
CoQZH9i4UkAJdqjgro31TzK2Tw2x5qrjhpS28YsUYXWG333s2pgeiSEcrjBDPlg80Zgip/TLs/AS
eWNer8VY3kFawZtW5hD1Vp0/99y1B7mzgoyzUnk+a815DtdTjBdmMTNck1xO6Yb9oL1GDW7Q8WLC
yMSTDlYNw+wQdcy85YBtJFPqV7Fg4dskvQtYYMryD4wKXyYS9gFx8Sav0e4LLO9XBv/AhtwVBZ1y
/m1bNWalodbAbo1P511cPWCX1mf8uYd54CJrKof2zgzf4tIa+IxYE/hG2dtIopitJd4LajsB8LAG
Z4z13KNNl+tLHkQObY9DsmsFKMSOtwguPW6mD7bJfwxkFUBmMdjadC7xUdqmW4ed/QEeo+JbxfVI
mThV3LRXJY+jmejmM9YjWaTyfix9a18aL643Ssb2vWeCi78I33Z54epQRee0l+9JvAfhomgLlsBl
ateHrOcsiqFMIWFR5MQhA/uFelxfHEqVJtaRfXd5Bc+sz3fxIgrCfHQ4ksHLY6LmBGGiqxFj3ivM
mrg9dtrvUvRWUMO69zTOpIjsHM8HILUrL7DHmL5vVUrW5tL+9rnQvXD9wW9Dyp4hXgYa9WukFDUC
sk1EjSBOgS6jJaZkQpQeTAHyWchCKCVvPZXtZ9ReqbYObvZsnTixvMViRSNPbyxn1fYoSMj4XCqi
erz1pNs593PRh6ioSKf1ypZBCV9AOmjfmL6MecjZjaUHwuGDRu+0wYzRJZksZKq0oDHU1L9R/qqr
AHE+2fYz18I9eNqO1xwt/XTZVkcr47QeOpCJ7qGTHpm6mYkB7mNKJANp99VmxJ+1Yr2fbKV7E9ry
DTvg3XSZbMvMFusuaw9pj8bptfa5BMzDE7x5GN3xK1bykYzTdkbNuWHiJ+lMBaoZ9HWeUJFcNEc/
pW1nxB96KeRQUIQIdfCSCQMEu5qrY2IX7l02u9Yv3s6bhkq3aLTvSGrAf5zCe9vWateYaVVxRO1Y
6qkNv+pvd7mv+hFvDV/jOOqtskR+z8IdS0OabUxLjhT+qlwzovqbprB+Ln4iOgctkgBWdxf6M95P
5jdtcIGO3IwOpYeNAqDTE4SNdF8USAD4MpKDDi5MHr9CwZzRd52q6dbzsthbLlbWp5QEBnWwp70k
3S4uEdeROttDHZIrpWhnE8icQQn4XbOJnbo521nuf0Rz8ki3bLZB2x32Ji4VH5l8V0huXo4b9Ljd
4+B7kUu3bQGDOeFEeFPkYPVjHJLUw2NQCh45+s5UrJNA07M44Zbe9SzqIHeUOzlD7NFRu69UOOyl
b/+wWmUP6M+/kiK+BTWDl2iB+U0U8gmIlPPL9GHxhbD4+5/23v8JDptMBsf5P457vBIU5iFXOMSW
ANgDsf/X475WWIYB1kcHK6HZJq1ygWWkrJ1NMgGdSLliZGsLkofaeoAwznYzZW+gg+m8xq3oj6vK
NynnZO/zqfOBEtzlghvuNpmKduZ9mYWUqDtFw3JsxJ/XtLXzPc4Y71dOa1g9BqoM4NFVS+tvZhix
YjWpFkeQkw7pPk18q0Us8DgsahVfjTMWtp335zSx/pws+s8p010OnKmaUsR2AnfiwOdyJELCtZpV
Asy/EM/+Q59bc7AqtR0cGY45poyffLNMwS/aJ7gp/eG6jJmNI9vdDZdrogsX3EbZw+VYXwmYOlcu
65VtLkh7gu6B9QJYYy3qCB/I4D4sFQuHnOPs2idsudcsxAk69oALm6zbXBKybl2Lkwup4JdDdOa5
ZdGz1S6Y2C2OYmoxuoIV4z6nDXpY+0s2U1i58Gnx8dbz7iYt1qylcvICfYY7+dWs82pd5gaPFlZY
gNfgT21tVZsoSuqXVEfLnR/j1cJ2j3LW5ldz4si7AdvVv7F3Xs2RG2kW/UXogEfitQrlLU3RvSDI
ZhNIeO9+/R5QmhlJu6HdedmIjVjpTWp2k9VA5mfuPXdYCIYErxwKNbNDZ1pbeQ+TOJ/pSyz+oktX
ENMaYGckAiS6Axih721VZhD70kg7MWiEKuZKEA8NjIhoyah0ksdU6PYBLBJrJyynG4Zx5k/hd8oG
dm5zhUfmM2MKgp+QLXhbB0Z0b6PF6dWJTr/4VqveSdi3LJS0DxMP+VYd6nRFOGGJ1TWtrglGEjBD
+ibB5cNikFz2vkZd2yrdQQTo8OyhIn0krCH6656sNIEgbDwWjfUCuG5Y8ck9J0QLs+6QPj+JO64U
dhzYaLVHpJU5ya/DtjJphGPsAO5gfKKV6Nd2qfxk+ZDhcze1TRE2e4MQjFCLjomuHerUf/YDfOh4
R/Ou/5AazVTuntUO1MzY4ggfppZNLYp7uMe/cjNwCcBmFK/RjKzFoIgtIWnvFmHx+1BohBnbcfg5
um7Pjk/Ud2muj7u6tqZFVEiBMDwGhdvVPykWoRNZxmdnJu5aYcqLUiIQCLClPJiR8joReLtJR1U7
Z6V7iqoJzXnc6qssU0bPcLR8jfHWX5YtDCjklNPSLlqmnl0C8pjTChv5qmFLSZWwzou6OU2FVgGC
H8cN1jnoQIP+UAX+cEo0TQLz1bOjoo02xQfjk2BwtLvYymoIzQGmnk7ulGZewIB2SqAAOXKP6kbv
F7rCMLX2k26lt1rxRUIxipTYztdmy4oopf9ZGKnO/5VW4EVM+TaoJiNu2FYfXwndIFHAHkb92YFn
idC9StUXZDDNU4nCjBhAGUVfyA+Zr6Q+QZRRGzSo1vShLjZK1YbBCqVdevDnO7qab+v4++Iuvi9x
wo250A0nCeRWfF/03felP30XAKgeKAaG78KAlTNFgj3XC+FcOfzv6rP+j3dbeFX/Rsf1KwgBcIx/
UnFhtJ3bNL7w934LoAanCKGwGq0TpIt/UjiE+wPqoM3l55IG9Nv/+R1RrNs/VJvfBKUpqhOHp/Ff
/ZaFxkuFXwxY2KJRAsv/FyTx3yGK9bl//MMF7MAAUU3svhCUBUQOvMJ/voBbP2yEBTR0WzHrC+Dt
xCTzEZnDck5jG/g5xEmyb+wBOpRl2O2DqY0iWNk4GaY18QvGrYyidMcCz6Z8s+OOSkwq3KwW3tly
kyqhcZsr5ZPf9+olVRSruRpWZht4cl0BHdQ0I0gHGGEI4hpFWRyRkg47iJ3oDa2Al0T4TfBYWw5X
PvEmc/GjKY+IYcqDaJ32pTAxv2IXdFeaili6zEDVcY94naGex5GL34VbTlQbILGfSCeKnvUVZpEl
P2xwVKMa+mwF+e1ogRyCKon2dlG3CXEOU5JuQZ4hudelvmWsOXiBNRnbUY40kCaBgxxleBXSZLTv
+tBASp27YtPDTDqh6nSXEcw6Vn2GujLI74JF59I+hjYtpKmjLc1F3977WPEd4IH5vQbTaB5gyjFd
5Tr1NiWdL4N9j5TtruQcHMHMc34fS1Aa/cYXXcc2rZ+JkG5WYiOo6QmADysYpxgXRfQ6gTbWrCeh
JWl3kwbS+VIFws7u0BQq8MrU0mcfECmVvwsLoU0QEpmL7v2uR7SXw0DooFkwMsIiEiYvXYID5E4A
ZdIxX+McXyQhjHRYjqiQFsZUdxAi7LrbOI0afqp5ETjLtEDFnVWt9mSRzVh5gRoEc77WF0ueQ6v0
5VVn/HzMqxFal4GTRMEM+eLYxKeGqn8l3oGiruxZiTdD6p6MqvfSEaqGJmN1beP8RJ/kU/diBeo3
tZnVnwa6820OGk5uZAc330tyVEZMcsWjhf0Tcp0D3xI4XiMeMOIxYMbETYMoLU/WTfIAAJOoQIN+
2c0zyvzAyPfwU1KPeECG3VLgRRlp9QBIP/oIe9ZdmWObtSM2cUh0ZaapF+QJyziv63mFD8xGs+sL
giV/DVoQfGFjtDSTOCrjRZ6HDg7blP+Oqr9PjhZYGI/fi5suTdJjVVLoLLTIlI88re0hVw2NADI9
H3vCSmS0GwMAy4vcbz24i/YiKQI0ZF0fX1zqnteGv1t6uByYBdqDYWRb1EObXUxK33tVhSU7TZ2n
Qcr0rhzzTd5Hyap0Z/oy5rFPS2caWwmneEjboN44YRvxuUfjxo6C8tVxG3OXUJifimb8leM3gZE7
6ulKMPbYEicfrW3I//FLofT2Q5+PDB80nONvxdjA4VdZCO/6pFPWAwtrT+qFsQL13a6sDtAIDL1y
M7lOj6nNSpapZsRrbPyofKog2SauwuqysTlh0gElvdoy8sYFhRYsuaIUKfd1EWX0wqF7CYzSf8fe
5Te/hV38r+H4/w9fi/MY8O/lzXLKq/f0L0PI37/s90vR+GEazPhmMP83feqfE0idR9yAq0PW8m8k
i3/ciCZfAeiff0BSaI7FPfWPCaT2A/QFlyGYKzKVnH+PV/GfgpIxIQqSrkijJJ+QEeRfQtUH0C/M
/djqZZ0JBjLOik1vlSkIOe1sVLW7k7xbrBCHBVzaXzobz1OAAfO3uou/9+BX/l90xu5/GoTO34fO
FtJymNea9kwK+eMg1HADBXmKj7Q6rhP8SRrg43iNT5pGMQwPZrkt7aufynMr4b0AOaZNCfwTgM5m
UVbGY1s651rfTvXTJM8GLaQRDQSiCtY4fkPGrO0cCg0hTk8Va1rN3djS1fjwH76BM2p76+voOFo9
YolsFaX1dYiHSx/7e90o0Ajba79On800uCgRL39kxY+tNKoV6MV3k9WJpzot9gcb8iKyo6pYDfxB
HpTR0Vzk8qUG8AcaZx374zYKjCtyGaZps2iID7Y2jOYFSSO2WNY4awe9CkKaY8ecbG2FwXLEOatA
OsAs24lnZrP3rJkfaH33dTBsqYH2WQioPkZK5ZQPw2C9imaGCAzx2TUROJsB2GsEqWJrWPKZ7Nwz
auI9yIpfeUi5rb4ptXqb5zpB45wqq7q3fW2jsyjXBsXrdR0EvcO3Ybv6cmwZkY3JR550n7I07G07
GRr5jPYXmzN/RwuBXGcCL46QvPQw7RwarT8pKNg8J2A30mv60mCdC1hsV6n3UK+WaDttYt/7B271
q6ayEsRWwqfF5BVz1gpENkhvJAvGLRWiXKjY0Oz6ocyGry4Vu6FWX6faJNBURVWMXyno5XpkBaWX
hkVCICZZH52Q4954vBaxtVbJMF6Q85d6Q9OBH+jOOMdf/GI6sLS+rxhEoiBrb4ihmaR95ml6rtUO
sO9AeE4bePkAL0JrLGNV6ZA6/MRzh+YtgtKhM7NfqEPy4vBolqF9IwtPXfhq9knfw/4oTL28jlI0
coRIR81PdSah+arPtmuk4sxWDhpuCwx1lGqPZvrs4GS6RCS2PndTeqhj885nBrQRY+8uKjsAyaXD
eIDZ7WSuZ5fZtgnjF7v1f8EaO43TpbButZmSHV3iodcLFcn77Ljppx3Ly2dTy/pZr+tB3L9OvnPE
V+SB1F13loFEEJZpcXJUd1lXmNJyc8yPJlpKitEAk2R4bVCsrMhv2Bom2W3IuikoMiTVIrx2gXZE
14B+dldnBmWtjT9JuFcpW0SL/vBcTM12iu0PRCmrCOQKeZxadSpdbRbsAbyTtrEaB6b9Qn5YiViX
8dWcbWGFdkdOhqdhCk64tlWRbjsdJ3uDGoxA62dFkoSoJBseDcdTQz3dGeQsLDoNtJnf2ee81fah
zrhEn26gMi2vbJ1XadvwySTik8lajiOzqBRcqF5vdB1/+SScQ5cBHC3Dn3ZnXjWoJLxO+sVVUQAw
Qb9IF7Vp7L5lcbmTrfWZx9ouIsCLVFTg7HqerrEYQhQBpZWQirrOHaCTrBruyZ7AN+9TP6H9gJ13
rWyYELXKJ88MNVCVHZyyUyqz3rN9g7iwqmOQiWVCsa2rVQElSyIgfAhMpcg2XQgtXFqhxkKj+Mgt
12PJ+pSyzLD5Dx7jNEy9FrHOQ05SUnVDcn/xs+a1HdNiVtmHEDjFE+ubB6fvAzwsGO6aAyzoBcDu
R1VxL5NRvjaJ9aZTELOzP6pj+1qO8XM8OummKfg5kCiPCuqaDumDI/X70VTuwcTshpSAKJSL+6ZF
HtnG47QozZzVg1NFW0f0OzzDW103cHwVX0acbtCevYuAHOZ+9HdZEeonqKgoWUtYqRjxftGQPg0z
6Rlq36rsxzVgkmIJrqRepQbb41rLoJW479TqFMvksSxctCGJHYJij5SbnhvHoR7BdiAaaEbtuXSz
j9Eh1tOEfQeXo36PYocXg8122PSv5LldM4XJcC+OatecJ13tFjW5CZu6ik/se7ALm7/KQLEWKhWb
p8n6OPGxsik6xV2/rmJcZ2YO/Ohb2aoAPyI0JrAo93wEafGBV2/XaG22ak3lio4NsRRMBsSmyslU
IWLLQH5WebFh8HrPSAdnnhLc1SjSS4fnoRJ8kvGqsp1T6yLBnMw9KFQCq/Z22GAHFHILwHehjv7e
tl5bI76R8LFCX7Mh8GZBKtiyzDmEVPg6Tehv0Bp5Rf4W1hkzR+e5q7TdkLhek5gHPC/bvivWpBB4
GpmASyHsnSoHH25sQwTFQ+n3HsMgesZzmTfPYwopr0+2Lk+6SLSXNmkujOlJL3QDNj4b2fixZ9X+
FuL1HKJXPdp+817F7bdaON7b1bOgjbJACM96/8zVt33SHjXnOEyGl5oYU5WsulMm40Rww7oriO9x
I155XOtXbP6/ivEQdM4KPPElHL7SbjqrFumlEdl9qvFFahYReW3kobg/UL+h3ZFfqJk+w8C8GHZz
NuxqO0vc1bFfqQyw2Pe4L2KGY7ZfjaUtqbmvE417bVXYIQdewvyFV+QJo+neSd46Eb9GXQaQPSJN
LDq2KngM0ruM3OJ48cMTeZ7PiC7vqjrfO/1wbt2I2Gs6cCt9SwMl8UbF/HCdEquYjoZoPDmBBM4c
GWxQNPTeNTmI7Xs7tS9h5K7Y2GxjLfpJhuUHaoRDqJxE4S+yQQdYA6LXDgvUQMwSExokvGi9fNDT
vcGhgEAEG0jREtCK5N1sWnS16aY3TlMkEPAkF9WVvxgbrwzGc4iiuD9zUiAH5FoJG+VYPeWB4y8S
tzwGZnyHEW3ZT/Z9CyAsDFhFpM1reMqSo17fIpOE61JZF3V0LshB1dDGLIxOPjnSsRZsGVZgIZd9
dCUtNmudTQKxKU/rT5MOOpTxdij5ACv9iKtXYxiZ7NxyTrxLDuZALLRjP1VD9eGWrb9qsK0wDAif
rFKplzDyp+UQpbdBs807VpTa0sZVgckHfqad53KD1nXZK9U+RsQVwzJi/mxdWVO8EuDG3qJ9rrtk
ozCoWThm9VTFxZYOkoUxurx5magTuDNQzEyPXUN2NQdv7IslOSj3JQ7qpV9vRs1aOR3ip+DU9Za7
7KGlEo+6CEkBcPuvBBNOK++a0t33qXv1G3mJ6j3aNyiScKLvhylc5/U6tLMLQR8w0vVq8EC3c39A
zFbb+5araF7qLBiXTO4tcPRnJsD3slU5D8RGBo+xjDcN6eJwKq8TIVQgMI8DIIpOu6YGDxDK2Em+
KfAth5JOPG8tyPcfUOHAPOlH9rTBQimH/eDW2rIv7S+XtQfv5pgzttECECA5Am0aiaJEvneUGi14
Ih5tUHjCbN4ltBRVdVvAPapkIwKLVHGe4wZT+Fg+lTNXnjURAFwXhZiMOLJMStIBQ1iZ2g9a+thZ
K7zbZr9sv7e4SKldDuv0FqDGWWZ4AvcuSe6tw42McXwC0ZHFjKbs9KdiYTvK8EHsfB9xOse027zg
fc8ZXU/IhqWFmT9pxq+sacTVjYjiYwHffXaorVeYTNSNhXWcGZLtd0u/FUtdWMMKKw8r8iwJ74SR
2ge1DNg+ctinWzTJ8RMZAgL6UereT53BJ6k04VtKNbxNyDTH1kVW36opcLNFxLO1S5Qf4SoxMl7Y
RO40Zwy2Dpz4X/yR4ifBmtMHNkh1m1pjs/FhTZEuVBlrjcioiwjHaq9mUXpQFad6oN+jPqYwgwNf
ZfUdExfjUfAdLxW35G6Jwh61Q10c8s4Mdq2CYM5huXDNJmXw/FETuwBjDsDSLnE3bV6UJ/KkghV3
DaJAy512ilvUJz1z/D2psfXebR1gN1g76qehcvncc7s4NaajLTN9POVYuahnRjV6IObWeVIrdfxZ
5Bmk2cYG6YYv8mIOU/46GDBQQYID5SgN3h+B2e1DRHb7oiSGBdm+C6OLyYbv0XKj8J5B43hX925x
1vrKugfHNFyq3A0Po/nUITjFCFpt3AmggZ9r5k0xzbFjRzHqr5ZQ+vWAbM8zpyG5qzqnPfcgeY4j
F+ZbaElnm+atwPQy4G2ppuzaJn1ztbSmviStFu1SsljoIXEDucFsIMmBFCFXDDas6xoogQUw4m6y
2U/rGubcKN24ISpIaHucKjED1UUY+ES0JghTNGTnz0bLvmTgeHqDiqKfCxxcWzNyNAz7LJLsKWOl
kshrjjA7bJcRsIJl1yTjBYgON2mRjt0DoUXLEaF9PaYbMPmkzJXTTyuJmHz2NXkshd89AsG5CXir
dhm/2jLZmla6C0ENmRMQHbORW0zwh5LUJln0s1jSWsKZCDxTcdEec/+qzgvq1h17YXXZauanjTnC
wC5mVkBeEJiShb5ustkBiFag5BMCv4MA2j6LwFQ3mV89D3r+iKp8J1VxTszWYxKN19/gO243XXzW
1epJw8q/KpT6Bf0wcQIBmRtVaj92ZnfzFe1SjPD+SFWA2BAfIWrsAnLShAy6XaERP2cpegJHcE6D
n/TLyMR99ouBSshWbhmeStnXTGQpytmVL1rdXONJJYJI0b1ihUimhaWAvvvghmB3XLEOkuwLYObt
D2uT/2LYYXyH0f5RBmCTkqii0LAN4Lia6v5l6GITGRM1lt1v7eSZNl8epqEdLkNf6Auimce9as/S
pjyY7jifwvte2tajFsGKrvzSBkxhZ92LiLv0A8vFfNXMbw3eIvdszW9SOL9T8fx2lfN7pn2/cfO7
l8O1eeiNjAEKi85TO7+jYn5bx/m9Zb5ZP/nfL/MQGPUeaBVGZJ93fZzfejG//5VLek6aTiXwmNrd
9G1vIPkkNWgXgQL2Mq3yryjqkODOZwuApwIhEucNUChjoTY+YQdmbzw6uH/uSq2mPg/CsHlQo7x+
UPM6PbDUruDlVXhPJ7oxdz7pdJ+AW38+/ez5HLTmE1EJcu2XPp+S1dhIJvog0IsyXMXfhyn63Jy7
M9BX6fdh2yZuvx1jEb5lBXVGoY7uvRnF7io09PipM0Iahr7n+FbD3j6UYx/emW6u/fRdHP8puw+j
iLjkvy+BHKjOpp9vBrxu3SfcKHHK53sjki7KtPkuwS6O2XK+X7T5plG+Lx3+NvMdBjZ3Vc53kphv
p3q+p3wnCWfH4jGf77Bwvs00rjUSCFilClAmnwwJDwK4LTxtXauf+nnzKr6XsKNM9OfRmlez6byl
7d0h4K0hGHJdBAygYp7NVWt3qPBSCjhduux4h4wQyTnfIkTRqhd6eC46njwjKdcFTdvWVkLiVUyU
Vu9marX5NgdZR3OTN9q6hq9eebL5/hPhb6ZLJxW1wz2tOBkPUxaGS9ZbyTXPIhsbJFy8NOKQ2Ni9
oF9FHUOlQNA4UB/HNuMPQy3uOiMhqRhdtlWuQx+GakW3sGwJbmTgleKxjxpYQ6pVDKuuLO/J4VO3
vWK+VnO8IEGcdBITdeXE4zuiK+SyGVau4j9GUfmYNIAulT6qPHSG6blXs4ahfez+ool5VoRqnYzW
dVd1Yd46SenZYYxiXo8UvWsANckySO5FbytHIYd4xUVfY9+O5aOj4pewmzrah7b9KLXoUZQyPESl
G28zhzIbDuo+MDScg104hGsbOs+CsVzMps5+k5jLt0KTX+OoxGhCppCqOIZapY3HivoD+SK/vOfB
WEZO92K1Wr7PLJQymT2Yy7jK9Q2Ri5WndW6KI9nciDDHPpn1WKPV0lozTGWsopKnMMs8XAaKqg03
hurjVuTDU67D/+7J0rvoIgk3Ztt2pC21cX7E2Y/DMg7yTTOOxQqRnrYxIjipwpkmbCkdqGKdd42A
1JlKlNOBkaVGWl/91medA+E+li9yynAtJlQQVlFtEkc0G1in1cYnopXHSqIzSxH1VFpN+lgBQgNm
GqC+gvkicTYmt6ObUloUKu381SpHDDhki9MUz6BL4efYGUH3uSNdqz/3A3BeH/k6axcYBIYtDDIg
bjimswOoQDi0hYs0nmv3lPvOp1bU6WOso0UXAweKkmKH75KvyLAfCTTWloOG5V5XAvNc5HgtEGTp
NDbhZ+1SU5AnyNVe1qlHVaChgJMf46i/9AnhVdGpESpPhC6XY+ZcJy3XQaBlX3Y93Y9azrpKtGCf
E8ITMFJCXKLpCM51pXce3k5i46BvLbsM3UZOHvdDh4TsBmuhpnvVfqLfNVCERTenSrZaxcGlGKKn
My4qABdaeAwc4zA6Pctcg/drqLgkCIyVHgPpc+dbaIFaJy8Rk3b5LmRfuA2wBb9EYm4yA2Ncg8fv
+DpUlBNI2W56w9udejC4w6WDg2ZpInu/OHgB3qNwNHaBYsO8691olzRmffFzp7mCGcmulq8MHz7n
z0GbmbHDXFGBZnQIoqPKYs2e3PXflddcg+lKA8AaqJnnf1dnnLjmTcwl2+zj2bR84v+v7vgf0dd/
E2n87Rrr/B4g7sg+/7LHmsUdfN3veyzrh45SfYalOLpOEYMu/vdVlvHDMEjMcNF8uJajzlD2f6yy
7B+IN0xGvDawHt49JO7/WGVZPwimtl0Bkcxm26v/e+IOdxbL/6usQtxhiZnPIzC6MXpydL6JP+6Q
JlEzmhvRZ8ASG7FsvweI1LHsV+k5NEf/KBMqYaLBbnkBH9mKW2VTMrF/H0zLOUWIqXgDxCYC8Ty7
wq+ZwRlvZuIWmKnrJZWLg7OdAyXJvFz2sdmBGCZjo8deSD5nmzzUIW4V8B8Vc3CT2Q9y7to+jTWu
SWFJsCkRB17n38EqJ/6ElHo8JkRyRf4NY75YV+jxFk5qHRnf2O8EdSUUxdxNuc6pI9zphHAzXTbo
0RdJMuIgY4DSKqLHYISiWI/EeqLapOluAUWUaREtBs3x2qBSvNzt78qQ0GETSzhJpX2RHlmir8Za
v5epdcirIkDbwHg217/gQwx7JfTnOVkspo0eVg+Sz/aSyzRfd5NSbMCx3zBioR7uj7DYbA9YonGM
Rn5kSQYqDvdNqfjksNE9GlbL/E/N040cmp+FPk5n/wlshVzUJWq6sGz3phZCzlSaJwAEXlK20Ck8
GJXYmckP/2qImPRcm0wqdk3Y0uBJR48lbX5YpLpXwZj1uoICgdLCI25wq4ztnaJbHYOheri1crJ2
hgO5gnEwZvV8RQwfH41TBvR5QfiQpdV9OIu3rfkmI/GMLT2GhojImItFLBzOR7TQGGILElqVaCMa
Ag8Tdr07dl7jo5Hm9yRwIQfXDFqaKA3HBzVBSsooHrdSQ5bbZbBPbmrdDDVqNsQdZ9e+UpQlaVIn
bK2XkJEiOrznIBnPSYTJsiHVAnJ1dQyqeqegLweo99xDIT8McjVaI5GmbX2uquYrzh5gMSEcdGax
OfLe5ZiOaAkxwg3dUu2wOZSuoeCYnNRFoZfnsVOPsQUuanSA1wrYx+U4L9EYCj/pCZySIkwVb7Dn
PzvalaoCuaBQb7qsCDkdO+gYcA6IYwuh/qai1zYlQiWIIu+mr9DGaO5XEiFdwT8CyIoRTHk1GsG9
FiE71++rKdReu0rlayRGYRO86YNrZ6SW+SW/70jLaaSVcplCw7pCrW7WYAnCTWYI62dhlu2hqWLZ
ADOy7GtSGsXe8OvxEJmVeAc1EGL1y4KDggANTHTV7pLIT54jI3C7JRtIeQz1UN2FEazekYnHY01O
gsejWrMoIpV4jOt8CYkmv4a20e0cJ0ve4tF3HiYT0UxC4ACqzQzNrZ27B9AR9lqze8yVGsCRVpmG
Ew1++jgRT/AoCtJRIrVIbyl+93XZERi8qArAig3hwl6phd3Z7F3rRF5FcYw70d8x/zfOpKu1+0at
tFdw5O3KCfKB+FeXlgTf864CZXOZqjz8ZZgDY+6aEL3PAvwdlz1JK6cJT/sJrEd/hCDdkB0nNOYP
Hf4BIQb1Hk96edaYSRzTOA9viHpctm5WdeRRcY6G0qtHgnwA/xWVpPxOC3hAxNqeXX5AJsPYUKJv
R8p/0wyr86n8r1N71sS7OuN1bgGBqsHR/rL5j2P2kkY94cQIguRcmFUOs7Tu6nOJgttroQN7hdaj
AdIBBWh9PHl9BxXKGhT8GU17s7taWScGSqbOieaSstZyzwokmqm5j0HHHLw2fouFRBLCcSV3Kjo0
iLTheppwR9FtF7YGLcEXyWkMEv6iyvBm+UOOUs61tvXQwYHRanTfo/WIkAjkSNsD4GgDEXn92PqP
Rd/rysaFzj3hGZqgKUOrxWiikxNULG2nGDfAVP0Whb7fDRs1nbN3Ot/MwfiGpfRgOecra9Kym+GE
4rUGdl8nzbRWdHHfOsqGOClM6qzJi2y0lmVDwpVUExsyPDpgI2DhMovh29a4L4bmiCwWnJUjSLVS
yc8arL2SSHxQGSQIWAxIz5R2WpIohAEzZLM8md3Br/KjI3n9JbbqdVcHa4AhOhrealylFibscpbv
h53V77Oux/0VRAoeFptwyjlDlOVtsnZm2X8x2YFXtGBtyJ1wNi720GU7OTxVE9LMY19YzNkI0j1K
S3FPraWGtxBMyzEA8XOOEb3c55qtXsPYYHbmyq458Hc9HLPCBlJP+OoJoD7Pu0B4/ukAAjbx6Rjh
rzTJs+VArPC6mt8UODr2Qcxvjz6/R+38RiW1aPehPxjnWMmGu6KU5dFUM+7nsO7ORc9VSaRk/V6O
GOUWrWvW63h+gyH6tnt1fqt9J84eu/lNR68a7FjU9etyPgfkfCKME6ODwszpHMtsfg5K8cDWM3lj
n93tpvlcmeYTxpzPGiIm6l0znz/TfBLJ+UxCEanuYrrCYxbYHFlDU6Uz963dRXHq7oqGFIKkYVXb
NbZ4jxJ9PBQ+znly1J0rYDYORpdffaAAsX/ajgg3eN0a1mLSvvKrlUtbglfQGKGvpLQdFTHHOO87
/UqgQcE1y+OBI7Jez2G+BEegIOzhNvtsVti82mTKB0YFZ8gM0+6cgTNcqlYJxXlyXPDQustsmH2O
60f7bKqD4ll3nQq5gwUfn/AAI262BHx3wVFP1GBY5LUkBaVtBInLBkKPntdOIr5QA2A6UJDDEWDn
SG7FKp0scEeDZU0qMlY7RXibRflGlI1xMZROPxEWZd1hhNDWiWtgEopM7b6eKgtox+Sn6gb8B+AE
BYtCT6wI9Lk8LvwPCB1l7wk3wfkGVTBUVm1KgDKZ3fM41OHYfMHoIo3lFGYaZwsZdy6PGE6IY2U0
+n3clHwuWXmHp5mw+ShiSVgTrdHoGawooa4jp7k13dFmc74KfBX+vFucSOdQccAopL1LI8Toh2gB
6RBZtf44A4nIV0vzol8g/OoXahe9FbHbr8eo/6llRrkUlYG7cNSvvlr2BMPyjtp19SGdD9QFxMuj
oeW8GXUPJnJ/BI9vLgDPIWfMGWhp9xFLCQ9yAEKG3t+G6KCXQQohuS1N59DYA1FjuQ/aXxp7X5D2
G7czP5v8aRhaAE+m4idwRPLhA8bK0Qiotgr7K9f5bdIK+WWZfbgjcg8TYJJPhyiGOz30efOkCXX0
Iq0cv2jxeAbbAPYI0pJvM8u3seX/+7z/SZ+ns3T424Sty6eswz/p93//kt/6O+H8MG0VfhKMU2G4
fzBLE7plqvxraSqd3J/F+/oPVgEzatWhwsbDTLv4e3+nOUj+dc5rni3XNEjZ+nfE+87Mc/1DpQDg
VViCNDAUYYgmVVx0f+7v8CuVggplIk8gJ3IuT60kW1SDop7QkoSryqnddVtoPjxui7EfpkL/qLGh
W/uw5g5kmmsrn4WnzwxOogrxERAvdGRRbAn83qk2emZVJyZAoYMemhFTwFiXLZbsqz25z+ULi8LE
I9Ip2UmDIBYM0dWWLXez6uBUb8syyC7SdEwEiUHTuZ5FP1AtU8h7kCVJKsCBY+KS2zF0Mw9ykD6w
oMKsVz6A8BMjSkjKgBMk81F3UH75dcvxSYntfki34rBVewbNFiPivAXcDih/yo8Ck8IzqdbwH8kl
xFwUFw5enEpWDH919krIWDLW1E3y2k+qPPEaP/rVBI0vSLsdEJrq3bYn5JU68XwEKtgP9mQmsy9T
32BVRLrssOGCPhWy9lHASRIJ3ihVsg7ybFq5fHQrDdTHUpklbmoW9vcV5AwCH8VJQD05ACrC9lvH
n3pQzBAYSHe+sCLKcxgOjK3HNxYW9jHkbJ+oEIjbRv4FbpTsScPYx7kkT6ZWDbRAdVuAKsnpuw4K
OUYF5lQFh1qCI4pg5aFHWZeGjrhpwaRe7bEe7lGoJC6gL6nXc0hIeYmNYYTMm+r1e+6EfbnrO6DY
dhDoKM/y3r/kIp1ZOSVmg0VaRU5xQHSWGMsY/g+qEoewCXAVgXvFNzyjqBv8JesMEsWepBfiWQoS
HclKZBJMxmUq5do2a8ODgR2dA7fWz5Jwy7f/YO9MmuNGzq39Vxxef+hIIDEuvCmgJhbnmdwgSInC
PCMx/fr7oC3bErtDfb35VnfTDndLLFYVkMg87znP0XBzYCYdyz1IMxpUsFLmt03kuQ9131lbq3en
86wrhqted3K+Sm8g1WBOLggeY2yHO1evYmoSEmk8KcLvjxVRMexhY6vfeGg3V6gwIHtxiFUHRSHF
ofDMkcInNcxPvTCid7o1yQYnsdxC1I+abZrMc3SOhBANO5wwbERRlkO/hJV9GzvKxYubMXnJorUs
pyhyP8yG6tDUTnXB6aAHe3tntInCnz7sHC1+rMZm8qtsHi5Vz2esd076wmFbXVtVS2OcGUM6ha/W
k9GT86zTJT0tNxksl4sUp+KODGqFNFyQ5c8tWexzC4DtTs1TvB/bNuEYUGrk9uvWaOGJ0I260EeD
/dCka/WDzMNLL/P2HEW1vBgbbzpG9QiTKV2c5qCoJwXiP6Glwwmmx8nQQ0wWnQaLfwjLk0oIh9Cy
gAQMej5xbsok7x71rMVHNQEJu+jwKD5PBgU/WPjqPts4TM9OVh2q6Ti6RqeOJVssHpSDdOdXDsCJ
vOtcdhmdVVZfmUEhJ+Ngs+363OXaZ56jN9RqP2lRPE0cTB2LTu5ocJttJc1MfJF2GHqYKWnlDJjA
JnwVVUZ+XTluQSUSPx7+2jA/UCmkB5bqiyfdmMziLK6SZg9/OUuhZ1lkqSnJwi/DEi2yrWOp/ClJ
JlppvFajRNi0H1XDbkGXfXfJKbB8yFvLcglRwH3fuPkkvjpO6uw7PJ8XrVFR70n12W7oU7rqARjL
K9zh83sJ7/clbyf2Tm1v4dRxB1bYGvMHuIX7MUHL5hC9WPPk52ZTfY2GvrpZTDv8SLVuPmSOWr62
AJBA7wh+MNw6PcIQsZjTnnGk1d0nbAxd33Q6N/J7hu7T7UztyQDsppvsHZPQxTxGKRJRX8LH2iYp
iL9DaExZSF5kLPILeghr41goqTg9GsmoNnoWLfc4xowC/JvZr5Zs24xxnpqtvTeIUyIcdF52MVmV
xuMlYjbF0b0Ef8oeFfBctZ+9tcrLq/gq8+gq74r8vKX/y9dMoh5Q8yLqEXnwbIqxq8+UnS4dRwt7
3M/TVFyA8BwfLGZM5z0HlnizkJR6VS1vx28zbgnKa4iFB45q5InqBnfZNQ5OHSxctZMesoh+Az8k
3ftFkLunByObvfe4oRpmU6fJyPDdicGIzI0ovb3tLNJgsjXPs28mFiClDILPbefQw7DFS+rEp9CG
9xzYSkUeT7CqTK6cSrSnsSAgf0yXmgxLbZjjRY6ZESu5zV3QacUJDnFyGEME4I2GZQLhjGUS7FB/
S/NJv+vyVrzhs7k1YZCuNcmhuhNTZpabSFvxuD1Ih8FnZk85HhxL+63FLJIHGUeOp1ZZCkKJXdMs
iINrAOnY2DgrulhATBTEvnzMecT4kZkfMGiMd70XAXerhrm/s5GqT3Tl5JtJM8xbvWvMJ3JNBQ6R
0jzrLDocrBTewTjOF4uXm5OPs5mjpZWdL4zDjZ4bdtPpOejnHBcHDxwTcCtVGJx6k7jo1qYZj87J
BjbVvOvaUYPRkpvyG8L4rHa15hbzjYw44VrIi+tPp2mTqIUd7RNZyYd0SlnvHGH3dERUoNswOjT9
lcbAJdxwrvGe6tyj2gCKIBAUShxQ+DQdQkeIs3QK7Jj9GpmmNrOwF3Z80QlI3+IKvSJmxjl0+Qsc
TXHVYqWaaR9mCuy3w1yyh/A4d9JjhYG3KIsrZSwIxFG4SD+KrO4OQUB7g7lvAbFTHeZkUBosNKKI
TVCJBgAHkGO4FCkMPgtjTXQHu4br52ex6j46JCK8mdFItjiEg0I8be6J6LUKacOnjpf+uVjELNj2
omPMS/uCZq5J1PTGkapcSwz1+iuVA5zenHKozgAGy9o3x+YLaZn8UIME/qIQhJEjJ84oHLc0CynS
KhaqhJqUnUMqohcrjNpzyigGXOE57Z9i7tKLQa8e3LEh5pzTFqRvieVYp6LtgAwUQ6qCmGGgMI01
zBm2z0tZVce2WWG9g7LV5ZSh+TFehcESVhnHNJiBaMPwPOddSdqB+f9C1F8Le8gmuUzjFjxBo14S
RXMShm5kNKrZjfF5jgts61TBY6rSXBPB0nSjB8Ws7AOHrOSWpnuu2laqWoCpLSWX3hQVTbD0bd2w
KqsOgFln2j5Smu0FoQGXYICR8Tg0LZgNGUOCYw65gXFT+1pBVTStcns2pIdMZHa3adO03GEPrxHl
F6av2dSDVHfpUKVR0eQQC4U1SIB2P42Jh/8t6ief5z7rScZVeRa5Mjz0EV03FSTte6zZANH7kGmh
bk4vXmPnOUc70bxHYIATTs+x/DIVFdT/gZaZankB+/gxQNvGyS4iWr8NCkvdlY+/MWfXgowMDX8f
gizFVJbEy36eYwN4QN+KZ93kafS0wrsLqgPQiDnEu8cl6dKW1GmeN4eor9EuRk+RWiGBmr3XkTUB
kWSBIO1acdC23Vgb8Hx69aHlceH3PAOOU5LXt5WXjI+MlskEjblBxBJ+qNLi8jSQf9Gw+zP7PGgd
BaibFv5tsSkNb7x3MfiD72v4paWTYcnR2SQYSWZaATYC7aM14QWw17D52ZPb3rACQWFQQtYgmghO
Xot69FCiILcHa9L6OkvL9k7otpXtQxs4Ajb4snm1GTxhbSfrpwds0OYXNN36Cwh67g6nhzpw4sZj
Y5iUcfXm2aq7t/RBnitTGtcFKa8HV7pZvSXMBHNSRjbzMSNCTRxAmu4JKkwHrp4x3hWxUF/NnsDl
oVoS70RemypTUTl1icNzdPFczrIcghQGFVkWalvzvCDroHVO9EzczaZAdyyBjKicL7CvZN8zENf0
N8/t1BmKeXQxGgV46tldt2BDH7EfKBajZXMgQ7lhT4hW6M3d+RzaLVGBYa6BxMHb9PZxaRYfLBLp
WzqOzkXuilQSaaBGlM9MAHHBpIE6RvIymBJmCsBvq8fOTocTNyv5iGTU/KGW+pkuAY64MsNrYFFW
yaqKZOtohh4kjoe/WSeVCrdzmaMHsFK0c3nUiSF22Nn7pKz0vK0tjDRO4k7FZuha/V2qpA4YiEV+
omW4n2bOjaCX621lTKc2nJFIF6iplKnnVzLFUlg5dgqLQ0MNocKdhaWuKA5qoWlgT2zevFw4mCyU
9UqX4vI+5U1BXZo7R2u3e/peG1UZMEyP7hScq2cDlesuGSPOf0hu+MXrOhz3Bt0iPWqQQUUIN5Yw
drR00I6QtO3J4LbYTgWcGwJVh9FlU1CWd1jIcnIZvO8bdHoX72ItgU2Roz/NEVRRX019/tjFMj5M
C5uLoMWQtSIHu/grtkc2i1XobhuLRAiw3iWCOVbGp4hulGtbD+Njzhdw71lDfsd6gVlc8jbYGeE1
HrKYctKRBy7Qi+HeGDUIKJQAc/x6cVJW22lFajXV8hdWvE84APAEMNwYWIN7Ex5Ryk9l3S6ep0LC
Sd1nrZ7e1EycLs3Y1ukH1Z2zZMkZgZTAzH498vgZAoSM4TEglwCAGHkwpP4cdTQSvSJxlU37MY7y
c3YZ/TXFIFXAeDC+x/umdhzJ7GM3js3Hr18ZKeZnAYVXRjbRBXBn/GLmJ99hbVl4iopu2TfUzbHV
ccyBAgtbO7XzOrLDhrUaBEBE/F9y+C8K71npzF9Kcbdv6VvXx2/lj4aL73/rn2qc4/5mOLZDRHNV
zn7IDdvebzAsWEqJ63Ie+V2m+262kOI3uBven5ot5G8oe+h0lpQC06ll/TdiHBaNT9cSl9F6Na2+
Q4dr2f50LdFoMGkcxbsd6faCaEQ4Uflp5JZCq/Eq+wgXHHgfu9HO3ntpCgussY2FolEtI1PZekjI
tDq7J2PI5G6Ukzy3Mc8lfgG0jTPk2LIlXEarhBemCkOde8W0U04qBxxYztjv6VkQ8MUGei7YtmrE
AhIzvFAtKgG7l9I+MvyrW5gOBd2tNlOqlyWZpjHQ5QSD2h1TzmxUEeJYEGUYnYNisN8lGzYaZL0R
8ctzmdfoy0UDrX0LpDljuox5oG5UdosHrvkykOSEID9ROsa8334vsr58NtgstyR21apHUWId7yKz
i74OwgGHBMOw2TS0bWBBHR3YQs5QTHedEGrP2I1YC/ld9YLxDjckVRIvQC2ncTOWor5MZvZUQVHq
Kc7SsgfXnRlMs4O81+QCRCHitDgUNF3g+cfjtolKWV8VTCuIl+rKe6krnaSyKF32rEmF63A7Zg1M
9gZF8tI29TUzrKcla3CMg8T0Su2s62TO/LAYCAZpEG3xoA5zBzeLjbF+xGNONUxfYppWPdtuo+87
3kCWmzgxprbYNQiP77JXnKZSs77Ok9b8Guv69OAx9WNjhemv3Iw8vM9q6ixIAdUjLaz5WD8WXYnz
ZUFbYV+vwF6Vc8OGQSzKeoyhCj02TZ2BJV483D3NYkITsekY3fIbTI/D2FMKiBX4JtPZFu7CufcO
cdJ3e0nV6nNKSgeVxcDl7xJZVRMwKZSHJ4hGA4k5fdQ1n82Bpu/Y+c3GQTOH9M2C9lEgCcPHOOls
hNjutaLkO9MHCtyFEADvB7agISC9eqMDuRsYvnYAMeGjIQF7s9s9KpKmi0+UYHphLOeeYxf21p7M
NlTbgedhzQXL/MbvMpuEr94mpdyPRdU2+3BMZb3tmyLKAlFpwx6GjDpHzDJuVDe6D1nKcNrLYl5V
K7ui8L2hWK7DFCXsdoqaio1wJw9JY8trHWjxaRoEZ4S8KzEv6RhsXqgwIUbsaKFGupbhYd0LJ4Ah
6mo7zm39WRJSQumLCctOS2HU1isr+8WLUphfELD0xq8UPLugHpQ3YpU28p3dGO3RlRNQyqqNYVxU
QvWkwjQ5+xWEk1t6ZshPNATXngUk/qcUQP67PbjmyRkHqquExg9PxxnAfuU+Kao+MUbKkaB3r5tv
jkUl0FVkRvRKcjJhZu9Nubpi7jrOCIrKPGsH6BmbJR/CdCfbWj1bVdy94/1wMU85s5vvW9aBdGdk
C2ELWilnaxPZglcOUe8UjPkMRaSpo9Hyab1Fuwd5AzBssr2arIalIrFNMtA6dHfWI3nrydQDvNTt
OoRlrwOmxOU2j0U/A9mi8InOEi7Yt8rUEmpQIC8eYNrlX+dG6bvUi+R5yR2+bBxgx19a264uqQ2x
9pMg6Rx70NM3RijNLy3Y9St3xjp9os4haS8jVQ2v2lLKTVqaK5K08qjFTaMHrihQ4XR5bsOyXaAH
WIydMzXnl03kClgjgpnfBoqZsUc4KYl4OMOXtEVtg43Y+HMMmKeMgSAEKtVVdyK6NNjnUW4vdyw2
FiZaqCtvbqq5l/SMlLyA07QACersGXxlyEilB4C4gVqjPWGyU5fUqopvaoxRwNyUsCHnqQZKAff3
uQDy8rWXOJVY2xMDEr7O6vhoThp5GiUKqe0UKrizN8uW24wyOtH5fYmgddFSZHtwwsq6d0M91/GH
0F8CwiULTOxX5bZLK0CCVvIa9XpxkHlibHqjVm/5pOo7NQ4rE5NzClRr7c5kOSvYtiMqYu+jo3sT
ebmxVfMyvKGZQDtIJlleexnZu83APpVmoN46Ovi3yX06asWcju5Wr2VVHtqwN5M7YRaTxZ8Nk0cg
pHiwVOzmO3R6ecwmA2gs8P2a5WgU+lcV1s4V2pl8paW1uDZwDe9kM6nHPJrc5LognMmCYkQWFmdr
LF/TvJgOaJyT9BUgpa828pVPqV7lbrUF6dsHijc695Gmhm/49QyGAkXR0M5jOi0mGZL9TMMjHNla
UfU+MV7orVGFUY7eF06d1gCfCldKeK3aAcAnToBoCIiRsGqZms7YybZNHtxUGotFiJ1ReKSIvHC8
yzBKngzNMA6RGuL7qljrxHTiBzWzn7Mw69UL8esVuFpUGg5LKAXoIdyHGmqzU55bQyuv+sa+Vbkz
BdJunqoI0TWM1uavlCNLlVjhCfoGhuqpM79OcSqOUeyRy7NQSPqhngOi8q8ZM1Uc4s6HNSXvfWSC
RkzyKujDqFCECDHtwzSZzKc+S4CdVzUrMefBzkOHrEipHKkkJ4Ewo63Wx9EM0QbRDCvTl0TwB3Do
MwP5CBlt2U1ovhPWOPdrVTUVTja91x+hTGnLpsY6Yh3GLHenSySL8mvIwA01ZFhJvXEO1Zi5HXSF
PsWFTdwFWTfVtgbAYq6VHPLEBL3E4YboAnpx02MFM3cbp6lzm+Gx31kDCIoQIvwXxBbjm0sb9Uvu
yo7K07l71xoJaHGxTSCwZGxgF1ihfenY2NFLbywpJaCikHq+FoLH+ZxWmvZgxgnZrXAcksp3kbXK
wGhgS1026yANcAUlNAHW0njG09BT3T200XSsE01eNvqqyuUTDbvbSlcSNQBH0NFbZPfhNgTeCjsf
uXbcOj8WBQZQnxVhoPtiEu7VsuDgojGx9S7GpfbORW9wJiUVH7/TJS9pEmo17P5Imxx+oWVsKL2b
X4WBJz2YUe49HycsPluFjunsS1snHN4LpCQiN/myL2YMXUHGp3yht64hNyqDQ0cVhn2WFUy7OFC7
uOhso3tkE8W4ESeM8aVr5vZZVX18lheWGwel4YL456E0XUYkoXiSeK3Q0OEsrK4479Mr5YCA32B2
7oOaGM0S6FnfgnIhuH20MKCgIrPY7caxXZ9+DKVyHquC12NWvVxYObepDygOsiRJhpvRW6pHiQLj
oAok1dHVHOc5HRuVHkDNNzcDoVS6vZhfzluV8CPPk8qZk6tWD6OLKe1aRT6vY/9ie82NURf2bdi1
RGlCw+7bTUQncb3GhrhOBgsJIpPERTB/pUHrjgzJ+5hxm8bG9MaKrPGkQj4eP4x1rK0s49YjNK5l
ZdbEc820CQLGFtuzWzxFVlp9GG1Bg1eGkMQfobGz3aaU/tT7UPX5GxuF8HYeJgaPbl13YlM1PVgI
ThxRsc2KBG8quFXSYSzQcx+Eadw/ZqGpM1HiGX2lqjk8lWqgvlLP249CWfotTdZxF+i1l9/EywTl
oRHeo4H7bW8Mnveh5CAeZszSJ9eytJdZhBD8SY8sN2OVKmrrdbYLZtMbpk+eKd2jhCL8jhSwHUUZ
zU9VMjNxUDxjnmyqRHsa90xqVqJcpNkeHw75dyoQiVBHEgWSnbLIzKPQcnYxHVIUjnB2/2e2MzCt
roZYHpPOsPNdIzKKZO349xlvHDfzPpRxlJwtEH5PljLn5qhMHe5qkmLwCSCbe9+Gcii+dC0wnLUw
rTS2HWepRzOdiV4xwMCitBdMADX4BG1snmFVYO4qwRalO2sZR/ASoJc97a1qO+cwp0a+tt0tOVP5
uKTnDafgwHEnwIBRuc/NNOrurQVCodsD8zBoq8wm3SK/HKo3q8Q4Nkc4s8deIzk5AeuODJOW+qk0
bVy1NsKtWhiEnNNPA72DEcogLxmhs2GVlYP45Fr3NEs2yxlkJEoh6ZfPrwnZrpHXFRNhnFM8poX7
GIg2lfRuREYKYpYt8QkPw+p1x7IxJ5sybprmIl4qtkd1ldCPaeh1YV4CSyjDM0vvhvjKHR3FeDwJ
w/GAT7SHOGGVN0y3G9JdFnsSijuEQfcQ/Aa56wjcJ0cLjnn6nER1WxwYqc/zrs7cuXstFjp0YNKB
Ya5nZYWvVOGU4caZIugUESo+jeZdMjIYRx/s2Ga2U5P4ujEnYUydkCFeJbZVGs77dlT02NVGECbW
7J3z+G7GAy5ATPG4OtutYXX0uQmD6D5CvMU20J7u4rIv1pSDnYpd3NbShVagovSiwjXm+KCRq37b
Z/i0aZkbtKCPRns/MzkMacqkH3JXY6+gKqwMyXCXjZoBwVN8KmaY0vjrtppm593LlLHdrptpLi5y
WpYdTB74NBDQUQ3rs1KUs3dgxLMKdxA140ceUnZ3NKe+ZJsjxvF8GCVWIiyl3VA8xDZ8wHfif0N1
E6merKhdr+HpJmRAJzp7uCY7572kbO7MDZnO2gk63g6dam0yLwc9YmIO0wJOJYhMyzE3i+b0O8do
6QVf3FY7MbF48UAAsiOH84WDtOaZaIb1qyYnj24jsVynVI+lFCqpgHp5TJ5Ib+idixzSfTbZJN+S
EM6mwUgq44rSwm90kWgGYXxQikSLR3w8fR7PX+aolRJ9DkMke/uBPqhmUHeKyb6v7Ahbn2GBch8A
XZib0cxvIQqyNpVel52iiTuWXUuYNEHo4mP38dIN753jYjrUhQuLnmA/9WpQu8f8kHQtCnE3zNFj
F+H0RQNeUoJojK+uZlvmxoUnSqrN+dtAFcxyEFrQYHGk+3elIPsMTdbxOT1IDUs//SWN0T10jFG4
vdIarJ1ml0eNGhY/t53wnABBt/ZYLyteMbIoGFwKeFBWHsnbJqnMfVKTrkmNWSzvUufjsEe7ReCd
+ns+ee9gehGwpZ7IWrUdl+5Yi3J6izoRPc5zAhAGX1S611PdOBuk7tDV6c3Yg11E3igbnJpkY+EK
36l0UWDytmoq1JpUw4KuFKaSRbrFSl+Op8cmyryTay8z/Z1ZhbZU4uBqgprDfkCrhd0EvZUwgaOF
UwzBqKCqBjBM7e3/X3VzlVG/UJuFqQvc079l1eCtf/vp/2x/d//dqI92vv2Ax9r/i4G7/sn/7X/8
28f/xkOINmj9snTlLsmy5Cfc4fe/8t1D6BL3IoFlWrawcOw51r8yYq77m9CFbQhdZ3iw/vt/JcTc
33SDf0EDGkKTxZDr3w5Cw/lNOLR9IHf+nh2T7n8jWuqrnP+fqAFcYRPzID0wCO+mcHEz8t+/vN0m
ZdT94+/6/+PZKui75mBiYmE5oxmEtpUquTBDoz5zptFhOVqIhLAh39IFPj0kYxadlTqtfg1530Bf
qX0Qst0vadzpQcgidVsWmH8qsrQXhUM25td6/c+Tgj/+vp+iEZZGZ13izvrBS3IC7Obq7OD5hwIY
BqJGRTMaTxAtEuH+1y8szb/6qNas3Q8fVW2bRc2TZT4kEZmKBSXnEksKEbNmqrap0qoAzwRtSzom
xcywrqaBExAKLjx8CCx+WtO+Ny8l8DhtBFzrNQ6zqfjK8AxFJJdPz5bTVc5z8iLs1ewnDqh4WqPE
oVuS23pIt22eoGwJNKq+0ci51jmw3CzR5iUgpNNcV3FBZ1RfqLtBigjLHNuJLCcglddwjQpPVBeY
R5KLFlHoJVYjBedaXYGl4Ug/F0uzw8G1FeWXeSAUlEPvwFZGpsGLOdqNungwR8DMDvS3fS5zzAxT
lGDpVmgktNYiBhrAmBNLMJQE67ZUJVuiCBhRSwHvvjLSB8sOr9RM7I51lmdFQN/Xs9mV3qmnSuds
Tr2nbiE1Ynk10xdTBHNsG+cpLfFFwdkFnjDK5EzVLYL6Xo418q7rvPVArIIBVXxjeOmZHED8GsN8
xeTR2nVN1hN1CKUPhbo/q4dp2hF7YWeRJ5cV9g6OqYKZd3WP1+UsXOYwAFQZDBRREHiGkdGgf4bI
YFI0uzQzid1ERbdLFthGVeqaW2NkZF1OM+WJs6BLIQVg2CV1z8nGFq9j1ALKjkYykwhKM+7y5GZU
njzjrtkkmjphcAcK4hrDDifnPe7S4WYq4PxNVM1saluhlI/1QcTaPTM3/FstNiTC8Jz5IQdfeSqS
20HK/NyLza2V4eUl4x3i77TFvk/i8GiaEKVpzo63DUwLMCm2hWQP5mUALXOvTRTGZDguCET5NJ4f
F9nSf8lpFxYaV/NkoTKNNaYg5TKGhN4/n8YIZNyU9MlewNownfK+z9izEXfdN41L4Zl7z1gx6IgC
cYDjs7TYvWzwrx5s2Y8+FQSOXzo4RXMD1FSu6oB4xEYNpIosvs0N25O9bdGw09FVJBEKYwsoN6ew
lJohzfXDPA2msgH74LjA+PPxVi+FOJFO51YbmWVMHAA2Vd0znyXSeof5TQsg2e2n0bzLKosTL50H
TFTIHGQUutouMLA5doygr5Bj+5Ro1awZe21s95ahaVvTjm5JSbobq/BO1OEcm8K9TVxGOs083fdT
gtkx8fs+pgRZh4BlkcXCgTcBXc2bKweih++AooqRPjiAZQl8IsBLQr1ltIj6dtTCVSIWX5T3mC63
xuTtmrj4QofstmerFeQOCis7FBAS0rz0Zjve66QJkrS5SUbvjATH1eREZymd2xcUZ2j0+s6zQ4u9
XYIkkFX3ztDK4nMvxd3U4ckycuMWuGm0C5ORmKI3TExtCJ+IsrWJpkzSe4vJRq1siYSC+c7iq/LM
GbeswqnW1AjZ9PL5eczmbMJSemjrBP82/IBNrbooaIvMunFD4vWUFy4XqWjUIcfNSe0I/Q14th5w
ARs+q994msWo7lsPMsfSmxoWDE0wANY7/BN0SzPlcQRou0mANFPtbRMW6npUsj4kFXldRgD8QbRM
EF04E3o8dYzLQnA481lrEHa27Ox+LtOecxQ2RjszH5EtscTXDnyJOaJrySipvDPq9tJoIHYLl4NI
bwJpMFpwMDSKL7Rxd8kxcgDMp1or9lpEya1DJRSLXWc9F4yEqNZmvcNKUSwuGgRIDywr9nJoR2eB
XFN9I5J1QPDq9wBwDF8b1t50L3mRWmtu6RW8cRKIoHocQsLuGG1xZh+2o5bqRySl8pLMzu1fPMd+
nlL+/gR1bZ3nvrXWEdAv8PNjDCDJmJbdQr3JgPsTs6vBfEeB/UVpdAKtdbQgafTsrl9qQN60OV6G
690VI02dRBo2J6bzFMN31bOdpO1NRqIP6lrLyhfpZXlpOUsIdU8kQTrk0QH1raRtbSKEtMwsDKU4
axvoljSAfyttR9swL638oi1u+D008gU5YY1/NzJc/3Mr87dSFddVQkLsH39nE/V5g/PT2/3kZ0jN
PMega+kHTHHhbdeiDc8MnwJGOYv/65f62Uvw/ZN11sgH/yAxsv73HzYI+shRq0cLOCTK+dYjggNl
Nl/xkZVBa9XPv36xlR/wxzf2w6utRo4fXg22azFMVWocrGS4ZhAon2QRk4wbo6960jZ+Y2f9NYJp
fOb2xnLoNQZ7FGpbVGVH/QVUyEPKNxlw7N8T+Jp2aaf6MxVyw3MiK4Ik4SskFy0IuqZWYMxVeY0b
Awtt1uJPmnR+WkV6v5Pa+bQ+qJv1kW3y7P71+/yz78+1DIjfnH/Y9H4aquuaGetatp74veqGuL19
KEjhK4hff/FC+vqTPm2FYb7955U+bYWzfipj4gDyQLGmdTBD70NfuoFjslH5qMHvNl0FhO5MbOPr
TqF2MKj8+r3+7L35/QJix4+PDQa6y1e73ro/fKXElm2h8Rw52I0V+Zkd0hcIjomtm61dE5XAJKka
Oi5+/ap/9sZ/etlPe2q41ixu1SgZ7VprFMH66mQ6T+YWnEyCnHtWztNlqHVUIK27HKwG2V+88T/9
FfjoPZs0Eykr79OilAudUpwi0Q8yyalP4pGYWN0FAA28vb2lbfLavrJcwX4TVhCrfrP79WfwJ7cu
hT//ef1Pq4QavY7xPbnhPlevskumy74M5VnREIWELXv+61dbTwqfrjTeqbD4jnXD4n9//p7jkVhF
D0LqYEkQ6wS4x03Shf3216/yJ3fOT6/y6T11Ukj6MSvzUJAs2YAVRZHHzdoXdv0XX9+fvdL6VoSB
VGwZf1j4aigD8KbFYaHkZTO6+lNue0fu2794R396mfz4Qp/WPM4fqg/z1uTurJ2PZOyvUsMx9x5q
BpEsJe+yqGcwHK3b42bdKBt1X1/8+mP9kyOzKVbai+sKfEWc3X/+9sJ4GhtGf/KA96Y+LCSQ7gkB
6EcSJPJQywmWCk2G0RDRBD7MbN+iuPGZawhIJtobLaEZvmyNpwO7i/KURcUT3Mr8Wk+Mx7TFIPTr
X1f+8WLDKcv8lMaY9TcmcfjTooKTMwupt+NXi9SJtHy10WMB3XXJhW9ry8Xk2XSTKUEYiDhZNBIk
4xCq7aB7sX23ynw7FDw62qE8sk0NtzQfMO7iTNNp+rzhEPGtrsfoKJqCLZw0T7ozNBBuHY5ns2v7
tZb023qp2FvVYbMZ8g8jETpNJE3hC3swz7uu++cW5/8cdn/hsAM3ZHNr/nt3tEph3yWuy7fi4x9/
v38rkvxvl29f1Y8Wu+9/7btYJX6j3hf3muFZ60qMvPQdaOTYv2GTpPqDlIj73X33Xa7SafPwYDZC
3SPzyiLAg+t74BWFy7EM/pZJp4clYRv9N3LVeq3+Z+FcHZoSJY1/UFclWG4+3XptI11FJrvdMn8g
sV3gfNOa18Kk9LRl1Kn12ZnJmIJLmR6JHz6p6z/uI+1PGy6Ci9z1Ni5mPhOJo9D+tPjggBLpiB68
1eFCHsKe5BoE29lv2bhveuX0mGtSqMBMVvaqFgkRJl18YSYQbb16In0b92Y3snlYpksaRanbXCbr
hBUFH7VFvrxpEakTCkYuZNK5AaAJUoUhKYD5EIo6CDm53LAJt0D4rjECQnP3EguOTzsGP9BZqhpR
atSvzEqnl1XZ3QUz1ozKQk7olUVGOMeRTF1u3slLx1wQFURDkLIu6EptZwZLhttp9w7xMt+myepq
lES1HEeapLJWb5emzQ9p0gCYd8KcVqJp2cS5rfZo39bJw8yyt1gCjwuNXhIsgLaWLJASyA6m0xjn
DnmALmi1RI1HrbEqeWoYOFLB7shwHyUMW1sNi5HP7NR9dUOTHEJm1MYtHqOo9jsKEhk1aHxqHQrc
PMDL6KMWo3bGefmmkNHwUYSzeMHy0zG+t7Ry9gUzs9r3jHF8HqMozqDMjcVdKbsn1WgWuBEj3nhG
f3JL8+SVZX2I0rY7DK1LU3qjvdpKeBdCmZMd5IoIRK46BaM2S/+HvTNZbhxJt/SrtPUeZYADcACL
3hAcRFLUQI0RG5gUCmEeHXAMT38/ZFZfy7zXrKp7f2uRVlmZKipIwofzn/Mdatdxw090NpQTjHJc
THxYOdR6zO+HAkv8QfhrB1TW+vVthcP1mBQTVhudjM/0SWUHLCExBZHYJJTCSrkMfNzKys2PAulm
J6tGRSHk5umQUzNA4dV4iw003ufIjxfbYLoqPPQud2TQ5BnKv7GgLu5WDdqlwmOwbud0TBqcgiWp
zWyMGpJXBR9/Vy575B8ygR6BjcoQwZ4mMryS/aDegOb5b3QXm5cmg2o6xe7Zt1pKldbvOfHiImR8
7FxswKjPmtTyJimHfsupQu1sijJx0gTcLaiF4KrI/erZE0sRbFy3y5/8mJjoVrvStcAJBYZKtnnd
WsOG2/X4M/MH29o30hcmb7FZ0daldMrTYo1uvneWpcTdMwpH71EOlju/8uzPyon6q2lXjMs8ktyH
ufLnpxEk4u+F0f+TN6rgZXVfcnhLBuNnlorpNh1K59nOJcHQqZ7oxnGSPMDRNem6wy9CQdneMoz2
wDE9y8LRTGPwfzmpvyN5mPGzmad0ADAmkCQ7q7N+EtaYDwvc1jBwLZ/dfJHZp5q64mEss3zbxkPx
rFLh3pBWPaoKy4tfjN/LOhYuu2nc55Vtf+Muar5SotI3c+ymF4iXyRHUa05Oo8EMGre2vpNB0pxN
N2X2M0xW/wJ6PPiVRXZ0NGqJEdVlVlVhjSeeoUqXSFObtdvUUuqyWDAAyKZ0b3ZUtLtiGK07s17c
j2jR1X4Y6/RbSMvaUTFXXStD+0/1GFgfZbzIBwuK/iFK2LLnyVcvGA7qQ6GVedsTvQKv77avdWbb
L3j6nWMCdnrTMGuKYMjpHOfxkI+HRsFU3WComWCgEV7tfmE2A0eV2B1lw2VW+A7VE2k9ErDuo/du
iQ4RM/tvkOTSu3Fmc1h2FuLxckP6YaFUhfaxHVGovT8nWGMCRq8+zQPdZIax2TIfd6eZJKRlUJEw
UWH2wTdtmjdVBKAxnLwgNbdGympMdp08apLXOCG9hizR1l4DsIPXesFt38zlabFni1GxkzNP92EO
HaPWt366hhtg/Vo0FDAvelM2BeLbzNCjsc0qzvS7KNI8NuSHog+Gu1j5IpgjZzJF4+uQVaAdI8bf
EePIfHm0SObhTrSRe6I4nT4qypnu+i5R4pSUlBlqA/4WAUrEwZg3hmJUCu5Rv363ETY7xYFqN3oC
VIw5DGvhH/nOdis5ob3z5QcdXy56ikOcOYF9QAHD5DwADjU37ajlGJZeSwXF0LdEttGYrR8T7J7V
35Jba96polFoaPsfQGmVs/PyxnkrncZ8byneCM12Eb/Soae3yFmCbdAv3d4sYnU/YgX9UvZS35nt
FGQH2+1pubbkEgELW9ZocIzBIORfS89YHfF8xY1nP0czQT+mwjz09Or0LQ6Mjl8AmgP9TWWyYIsb
LRLTmzjPOGPmKm8a1kyH9SJZwP0eiNZTtBzF7lCGQoLU3PsYcYxDiV2DK8C67/i2W7+y9UQUAuAU
G8J60s0L5LTlnHdZsOcjqyhZ8Pu9w8Tktm0iNjxMnMHGbL3+pGtNkqhIbKMPy7qsHpgdk+93eBwa
I/dCK5/dBxXhNwG04dn3GdXUd8yUuzCmhfkWKhkuG1xC5xLd85DkWJNIyssMPjD8QboGGzu5GlZg
SVxpi1qpEqO5PugGh4S+E7vYDPwv+iT53g5zGsBIyAP13c1/+MRyLG1mPxl7dF1OQoA6kvfS0c4W
xGD/aOTE8Ho5PSSAM64LXYOvVu/+wbv2wqgz8XFTKINZpyrdMPGC7lYlcXKvPAgOvJ2G8wJaRP/S
c5rzzKQdMFgTnjC3CGkuBCbXYnjH7S7+ktySI97hrWFDHlp1oAO34QQhkme6osY7vTT8cOK0YM1B
seJ/L+w7Z7Io8R49I71OfW9ucK7BUY0ozGHos9HksXGd642xJj85k+1TM67AiNi/HG24dJh19/kc
m5sSGOHGyRpejx+Uex2V3qmnVPpAflqEZdMke6Jb4+q0rfyHMamDbCOVZZfbXJD1w2LQ0AOU+/47
u9yI5YAvFecgDkLfpU6Wu1k1UwHx21iuUmQSu5xNuBg3Fr/QUSQl5CaBus09fuh+IzRD+HX8tP81
+AlRaKrosQbormluPEIStwQkNZFVn+KDMCu92WVppa54E1hlNB6rlHj3Bhwtp7WcAh5suHN7VnO/
rKUMjvI58rnsh82QDm+9q8Tb2JoFbDwfL8p6VJGbXg6MCbkQOjRKtab8tTS59+hAAXi1Fo6UYavT
fA2uQh0C0BswpVNm/dIy3oKbMmqep5IS6IdWNcsd2GR901We86elwaRq/p68pP9OEXrHOMga8JDm
vpyaYzSlTs4vLflNNAt4E66GYYYlbt79DnKRJtAyBWV5NrC1J9d2XdyuasJjBsHSdKncrrvbwQgS
tZu5xd8mWdkgpca8DOb6Sa+fCybtSCUkYiguYRFLGf4pqjLHYryvSgdgaIfBtyJCqfVCVteYo/vY
nPxqmxGKh5MxL7xBoM5TIvUciN29S5z2SXdRZ6B/etjYMy2EPgWy1f7esnIOHXURnAbtMfVMSnPi
BIw2t7FmJz81UQZSL+BWRFBtpAo6MSWGuCDTJ8vp7HNp0WqysOjkLOm590KURVfniZbtdmOmY4vk
PxFQ2vrkHjiyNhN8+Kogbk4wnPIJY8H555kco3Yj8wo4l9wcNLlFSYqCzyToTskcRW9FobPXbi50
ersk0NCOLnC0Y1ETnUu61vhtWlnEJMRCXzDZVY7zhJskrP0keydDADwHX0//xqcNkMtaAC8vpc0Y
k8X8JlKFOC8OIZ7Ajfrbss6KNHSj1WPCH30H25m6+Ek6E9B0t0i2NONFClyNmodtE7TuM5CVlq6Q
f30f+y9aENcxVyC+SM8mrehb5Lj+rmuQ0OiHInX6XWSZBSbg+LNKqyeGcO92UD6BqmBj9ZhNcMj8
qTK9PP7r1/+7rPLny0sTywSnOzhQ5vrP/6rVRkrQ22r0u26tTDSWprrlzS/+jSj9x432rzfe9U8J
Qpgbp8nrAIP8+8tAytViXBwCMTGu50HD8Q89w6a23UkWX4e5hvjK6LtKviq2JwFbp6UW18Lo/g6D
xD3ORjXcyqbsr3nqwRfkLQslzhK4Js38TmKKSsjVqhcO7Iv9A05Caq/+eKv+R4/5d3qMQxTxL9+q
/6bHcAf56P7XQ/fx9Vslf5Nk/vzJf0oyzj+g1Qi+a1SF82VYBck/GdMeXiDEEMsNHL4iArLYfzqI
iD3iHJICBWd1IqK8/KckI+x/EJBkDE+9uEPVMznG/2ue+qcO8q8KxP8+s/CctYfccog9SqzlRHf5
Ff76HPRVH8hucPWhyfrgaUS1uKccB7eBHaTdpxEs+Xk0g7b5d0ML+ccD/tdHA4Caw+0EcxZ/cPmH
6PTXVx4UtoLJ1fognSHap53tNh+lGDnjptqi6mpoLKjUKXbS94I77bKj8LPJQ98rbOoP89GUB7No
qN9UyK8/ImyXcPcxWmwcepr6FSwIgl81URLmJce9m1GsAT/SSRQxWWNP9Kup/fnTHtuN3c9ddRDo
aj8oYZs+5loEr6UJ+XhHtlE/UsPtNVsKSNJzmhRoMvSQwdLXFpaZyvHSvWuRn/DL8uxAAT7QDzWP
Cy7HpfpEiQiTntD5QhnsVkX1L1101i1wleyR+KX3xr2zPSDYksEvG6sKEzxodUiMPnoxdEF3zUKP
7HEGiBZW0fzbq6EoECDaR9xlj72AZcnV8cFPBm+vJ9oxK4hKoWFVr2lKXdnYrD3wI/sjVnuyeeI6
ly0Vllmx7rD1MG0C27mvGriRE0EQJs4xZqGBH+xoXQBSWiCScQuQTZehKogPpAjutYHDjVZtFRhK
3DUdVTjFnnyr3rR0YELsgM4DeTRUcKb5l+oxFPDB7sduaG85VPTHJeq6TYQ1c49vgxrRzhnASJms
YjFVXP2YerscXtoWQlN/6OnpPQpTUaCb2u7RQeZbaTLtDiLycKI7erUTJQJi5UQc0a3ETU6r5R4Y
HuCoMies6xYRBQdzeljGzthpDN2Yma24OFaV4Xw1lo5vBgejqWdI427JkMqtuk2v81KofFuBwNnG
akizDYCWpF95LHZGfiEpqRIicc783MfwvhttR32QZMvrsAGRSedXsng/4sHxL2QYrE/OjOVX782Z
Rw6lce2NSMbhGtf5rTkZNd31ILruMhHQnch5MTYd40SUvzklS1m/ldw0eK+zDnaEufTJsutcOp6o
ikgMuTHNWkpqFWX9UEJfW5lt7pp6rXPSLqVw7xyVAxtl6ks8X5XWYQJXV6JPJf5T6RpduzXwLG1b
WVFYB5OHk/ziSf9idjYhIVIj+lEA3dk7cTLHpzhuyDe1XK1+qN4HBREROrxrPRs3R0vo8jqPvnlc
CbNVKDmTcn6qxTG3kLLID/rxDXcm57nuOvKkMJTTmTdzjRfbMyElLpwNSImy1q8Bsbxk4wceCSw5
iRUZ5XTjznfHuD3NY2/9rtsGxccurdfcBrt+6EvLwZcAu2kPJgQ2nq1a28QRPbvG1Zf9uJdBy51R
0VeEp1kAH61ILBQbu4BUMAjyswCUoQc0JpoW/7HhCqbedVhIifL74R4rFuM+cuYvGeefqkxuLbzW
DR2++2EmhVNS4Hqjk8C+l5THb1uHBEufw5GYZX4b9Gm+ARKEsGo2WBgWo7/Jmvaukot6aDPzi+u7
3HR1BzGnx3xhAuy7VJ6X7ymGDvYe1ab7uPTSB+wm/WFCOjwPyyR2/TjVn4ukT3XG/nxnzhmthlyp
xttI5dREljhANnj307UGCtE0y3zMS0uFQI0x3bU+4eKmp0IMxTnwPBxJJT1XuPR7e2uB3JC/W/rf
i3TjwXwMfeoGeC6N976MMfIqBVjPcl/AXXh7VenhMeAsRIliGvmrZVmflmH53dgt6wf2d2d190fb
ADL6RdsOd/AczhN0yHg3lnHKOTApHwzTitrQtQcgTVAMr17hUPimDZS1jTnn/TGPudH2RjncqZFZ
wS4ho7bB1jbf+51OwrmvgcMh8Xp8s7gWsFrEnz6a89aoXDqjfeZhJD7MEHwH78YkxItfkKrEnk36
eUKJQzMjgDfmVI2QQR3j6GYoRLnyOU/45b1LI2QC/Mz9ZndK7wifNIeia2PupHxT1DGz8ylkXIY7
DzQlKYRUYa7ZGnPbfeH3JBsOKM289SSIOfIPWa92SQdqbOO7Or5Mib6mc5y/ATbJd4Vn+7/NxBoO
8HUnMg48MAeXq42+aRqZOTuttX+HEFS+enxOoZ4sfKoF3ItBS+dBTW30OQOVdJ5UW7LM9kuV9Nu6
R/VlWiG7DCcEh0bMTnG3Q6JeGDssFHIO5meDeAfxBLpGISx9pnpiO3XVu0HStAyTSdE+gJpjezjb
Gccc0nK1IeFZ9Ml/tmn/PHI3pxHayhzqmTzC8LPsQFVpvK6zXz1GNhJpgpayxTtgPFC8Et1NBqb3
HP089Z29icGf1PaaQ25j4nnxsSS5sBt9p6OXiJ3J7TS+xhQ+t5dcAm1+td6E/VU4x1FhE2OcOh/T
JYDmSUzgxmBAsUljkg9CFLcNHEBkqM49+JrjcxSLaLskMR9yMjnnzI1fYxuxse1HvgDRyPJMEGoz
MgOC7WYsybWcGuTMLN0bY7TD2GLt+3kQtwmgnm1h9BaJby/9mmLoodGg+wu4bohmhrV2oU8AbBQZ
lVhF3aHx5mbLJzTuOAtCEcYSicNzeYkKzRsJPHlXSt7Yoq0iygc1KCnVvIwuttKgrrqbPqCgi6MG
dl3Z9YcajwbFrYGP3bEBC5F3Eo1R0EtLgumGwQeIoAzgpzHz+JbCuZ/43M2xILsjOk1Ng0G77y7H
lnjoIIExE+5QWWBb06kxTOpH6q8fKuB+d0/iVD3ItAl2GSMMAqdVNP4AsVFcvX7BbRYU+beaXEke
o7SOlg7Gt6wpJMDZqdb70TVrgAvER7axZ0bfZrIMN9Jdiyr6QjRbttnogKjtpsRjreQhNgJ2zjzW
5kniaDtMIrM/Aqtrb7UppnsmTPgwjKYKUt5vIU90LqHwaFqPTyDG0qc4sNyz6WvrmSRe9LtQqOib
pvLLA3jDNGdhsqJj1pvuKeatNsNlooM2to30tA5I0g2qmY4Ptennh5LR5qtND8CGbI9etZYpCBNR
xF9DXpma6Eng1XwIVfmAJGU8YynMbtJkbXaYsuVQmbN+d9y+PA8tJCnSPjK5mzHN7iFuBtRKmyYt
KTD2luc8m+ffQyZLHlM/z68d2IprkNBhSce3ZBBTAuEfOdrvqatTr/5cm3dRUlVw4S3zMJO6BfBK
jxLpGCrW31OHSsGyNIszZQPTsx5L50ZXqX40AuSCXsjowVa1fyHlZ52h3HlUVRIpaGEuvNtOdMSE
gh24j+86eiwZOMbUTjGL05LvmVNyck/IsbPiUWUrlhQGmL3QS9J1h5r6EnszRuCsPAjzcNLVZBab
Ag0IZrgblXdR4CWHoAC0JbCoh6Kc+6vsjeWIxJ+HlV9ZLyTMNC2uXY/oHI2SflVDZNYDWwT7G+Aw
errzBg22pGg9LAqlSAFWwV7aFYMz6bR3Q+5koVcEH1naWHhHrZx1ppoPFHrKPQyO5ItDC2B12ayQ
X9BRYPOnuTqU7tgdm1arHzy0y9UAfRsulEECWeJFfMMUu8zz8x29AjGIAjt+qKdO3I3K1NNHbYup
fWT81BZPBrQwDyfFkkXcRLjghRG04XED4HOi611oMk/ewJx0I32NlR6G1rV0xvh5auhWWyBxHTAR
E0deRic+DJ2pHptZWD+GOnCeh2nEYTZ3IngfljhYdlmKohKXRvI1jTI7GdKxP1pH9HRVtxDRN2Mj
p6vJAfV3Z9fLKR5rcndlOrXXubNYKxbEbw5symJVc/s2PrRTzpLdKXtAIivNjzzyHGIBpuyefaS7
/o4CasfeLRla185SjEEoEO0wuc8ZvYxujKIUlDFh/XSw5vTYWHwJqfMxooxzu+rwNs0S1GDO0+vM
mW9ta/bDc21lAX1BdtsQUvaSZDsacBKIUHgWz7snZvKnTXxs68H+USwj7SpW0LxSvjZ8EJctw9Zp
2mvnOo+pQRJiKtS2Ub5/7ukJg2rM8L8IpPkBL3T8GVc0gMnUTV+zRRvvVlO7/k4Gs0O96DyddE83
Oxyd+l4stnyMHd+PN1Y8RZSbFrt2bvIjJ+rkFkF0vGkBx98MvIUf2os1bgJDPjhUWexLAwgXkbL7
1MvmUy+BtCEMZdfKMZxL0NtDvnGD3qSOu8FGPfktsRivICBcd0vHiuNFlzjxf1Kx+gVWYXrErBDB
DWi7ktVawFIkexh8D37jhQnQ5r0jaLDQo0heOz8Y3saMJ6cwqv4tK+J4G03SvlSAgE4pEMzHvHa+
Y4eUANar4ErPC+nVEkfQlKbNb4eJETvoKG4w+MvnRQf9aYlNc2ct/fiaW3aGqyhP7lTkZg81pqXd
3LWq2pVW099OkTNiIIibo4zL5FEjAGztJsX2wJC7eYBCV3y2s3AeoVb2+3khT678urunoiM/1l77
NphTSqzBFzPHA/Cfu6mGkNCN1P3mQ78wsyvmjTUNZpgXNmegPhPvNJiLC0JyfqZFI3hPvTaiCY41
nwC4OrKt6itC9fwz5Sx2V/UxaEmcfJeBSfpTzykvh/xvOnsaoowTRWDNJQIm+aIV673X1MPPNO2q
XURFzsfMBNxFUeVKbYF+vfgelzVEdJ6ulF1lm0B8AQPInuKPrg6zmTuWHeX7pUmyS0Xw5bXwXXWC
vZy9GjXfK5XIkpsgID+/WRMqiW09eNhqqNfU4xbodvE8zY24JFT+fTvjhCBNZl2ADcn6OxpZBEXW
mCC//DjnhgV6vTubsUJBX4Bk3Bh80Sx6KjRsz77PgR4Rtom3teE0b/3UtAH3rsl6yt25efY6AOMZ
3Mhp4/0BUJiCtnpnOhx9jL25OuGI42ZnBWnnAd05fqWxHfwCuGJQDLC0nI70DWyVuB+5XxH/sT+1
rAB9i3IJc8+rP/C9NFuIiN5bLRFp3LKvb2NOarAJWDv4hTIGPVQJ7lPtOVd6RaydJTsoFK5WwAGU
viy57j+GctBnayVNKOFH9IzRCYytEA7FSqRQPgtGHafNe+dhRY3z0ri6Re4ywjGjjeWFPUs8XuG6
rr6omZXTHTH0xKVEeAGUQbJz3gxjbL1iCICI0eRT+q1NeOkgE+bdnDEG3UQLCZtNXc3zW84dchuT
gb6BOAsUhD88JZT6D+qGSJRT7jkFdLezqZMfIkitZy+r+AKl5EOQf1R9nWtf0XAdx9WrU7bf6g+m
R+vN1cdCbvu75gx6TFyDZYgpwzYpWzqCtGEcJGyQPEbYsup8M3gzZBg6yAgUmeHY93TCr3ARDmOv
LDL1ae7UkxmN4hADCz/HGTCSYMWSEMx3t4asb/OhodJ98K99qpx7bAvlrRlj9mdquFJOpihnVlFV
Z+CQ8phOM18HSEfuaSm7oSaOZK/bFP3ENfPtAFchW5XiSTOW8zTM/iWN52SL6NEdrCAyPxO+Pp8N
E4EF40Fd8vNFe5YJraaaG9ReFnZ/zWbvgSiIdWBvHq95ZFTAMyy7A5jhkm0zAhL9iFL3rjDvV03o
hykjGF4ljTj2Njeq7J6T3YoAZb2iZ8EHIzwqNwG5lDjMZzMunuTeFwf9bem3NqD0V7Pw6OEMxk4+
cjQoaCxN8uheZClA0NFTNz2MxTADZ7K1gZ9RvjDzXBbUIfT0pUf7fulzvGFD3Z2dDi0xdAYRvbWx
FlCWG/Ujm23zAs0kVxuZEAJSjnYf7XRoLy2vFtZtGz0kMBAvZmPA6oqC2jsPUOxu7DrPTgKU2hnC
VXNOndS/Sqto9hVW9HgrKp7TWen+HnFN9Tv8yhxpfI9EfItBYYTP3WS72Jl/BQsuKFA8lMPEwvyi
oi0/6miJniQr00Z6NEuzHS1iIxc/38fZEO8711zu14TNIRFUceIoK/3LlPfN42JMJl+9FptqYpAx
kvW4fEy68E6N22Qvkt7PgMVbwV22JTlIxCtM+UaDBcE1xatMZqfemqbmzOU5N7ZiM+trUD4eY2s7
B0DRCePF7zVTqhnIrzWXeH1MMni7bCqmRy8SuJ1m3zj2hWxORg13kzFK+9PEY7ylZzndqpLowxKo
G67rBwjW7b1m1r6nHBBVcZnYSPlb99g7gB6KyRv3BCbJ71dJRpndTPZ659gJz3jNXBi33Rwdhrzt
LDYeoe+sIlCvMHGsV6IjMeYzCuo3KFeMbbXMSCAVkEWwbaTNM7UIpbnHKz/N28Wj2WJvFGh5Z50k
Akm2qQXfW8QPMD55bLwRVFIn3wSWA2kGcSBMkkxflznp0nPtyfQp8RYQgkVgIPYuGLbGbdamw3fm
lcthGUb5MxeLvPpTUFt7mpwMyhIyCbXDtekNhO6cBB0FFFJAE8KQfAUbzxF5DFKBU5Oyn7fBsbNP
bZj0AwX+aDrHac2mnxak/ufUWar31obTamRVez8xYY+BX7fqkbA/WBUxC/+hGRHibL3StvP+B72M
GCN9lUNtC4KfRm0nkGYJHad0YJ2UL8pXOsKxjlT+1O6hQRF0rawCIaU/8i4sO8XA9U6ma1LWJWDy
1Pd62prUFz0jX7onvxXeA9WTSAzZ6De3MegORfrW9r9QDaQbxgCPc2hBjA6MaTIcsIAjDSgwGpeQ
XOn0nvqSDQIJdb70pePthuQxbbxh2MaVDJ7zPqqoFcR8kcsu3wroThfo1fN0o9hmyk3KLPeTGS0R
qWSeBiyj4Bn1BtXZfYRXalNOOM5FAKN3Bt4CKVu4W137VY6jqc4o4qAXqXCC/tGexfKGcD4+GnKo
8E5ZxSHFK3noVWO/2Hk+3TMKpwaLFlpzX6di3ir4J/ck72fu5aMvf/ZNnvxIJ1mcwXnrh84QeYsE
aSXOufUnpi4WPe1YcnzLvZtTTllh7xn6fQbcgvzP4XqfuFMGiCWl1z3oMEx4Th5UYc4b8VjTWmFg
BxLxV2Ql+HNSx7Ke4mg1x6SlWT5lKQXBkxFxgQ4k1du4JdwQZxwXqam03buuttQVs555FdS538+G
W2UQI9L2xwIq7E4uWctdvvXlxQSxj4xTqay6SfvWeqETT5wpp8PnWLYpo3A1oH9iFMFCks1G9Ivi
3+WjgTLs7MaEA9tGUzUFDYgaLBxXlIcflk4Xb3zbCNJWRcpOgOo53Svwzb8YEa8LHA+Ry1D2DT+t
ONpWv1xMUXmnJInMQ9yW6szazgakAvNLOUOXbIOanQ8Xk/EijbR5xPTsnSaYjrfO2FOeZifDtxqc
9CD52rZkLtY4edtP02+ZQR7vimHLHaLIwl4SwKucxTsRRym32quLJwcb1skQIPKWfB6+qmwFyi/g
SA5NYVY3meNN1XYlrH9YDfS9XTx49ZUrEup3U6mXnDKPR3w0Ba4SjzJI0fGXjnVIxbp9j3tiAR1m
KMYdqaeMU5+b427gPXzCTUbdKa3jgAy9MXg2FsumV6XsRLqrVfIwlJ664vBwmR6wttBAODhYc82+
fyhtrzg3Fj8EwZqExyK9BzlVqAnmXA4/CZBCLzEtLS7+oNQ+8riVgPwciytGC1o/kiATzVMU1csj
eAw+EQ43UPZS+chwqzoSQEquSrhNKPIJBLimoqRzagoIOosWioQqnFLP8sSPxfc83cbnBGcp5G/f
k0jnOyutwXoEi383UAv+ME/lV2uBO88HrDY0c4QiC+aL7OcSKrU9Hrraq8MsCZ5mqEe7XBYuOyPS
5bFXFGfjjiG1nwlTPmNZ4lwhPR6eeWUsFTzXOKXVuNdcX5nQ0LN5NNIyOvYc239SayZpQjPBIjj2
1F2p82PD5lE29MYHxLohAt+cUu3CaseYrqCMTN0t09VfdZeLfNNQuHOfxMK7jLJ2HifkjJ+VBzdi
k0PQ6rnuMr5JqC88jZDqWVWjNZdJM4qJppB3g/huqggEqCL3S6y1VkYaIrt3lNq441yGLkeE82B4
1Zsds2UlZcCRJVn7kSwxgmth2kLc3Gpemaf2x5L3d5e0fX0zJZ2/JXZp73w8b/XBtF2H3TSmFyTt
+/KnpPb0wuyQnlw5+9+49dR5NPICLdjyf5iYcrrNPBS0I0CnwcoTuRxkvYy5lb0M3GCElYxnJXD0
irLFjMM0B7m3cT8al2oMSh5640gCjm8kGkmK0ZRscz+5LHKB11IS2avkya2Y+WBXH59Tb3K+6nGe
PinX7Z8hFg60kufTuv5Hqx0jyPways40/Wxz5peryx6cDWseN7ySOx4+YxZjPfgec5i8t9lo8j65
jIZpfha2S9fn2BCsZfjCxjVXgTxSOG6e+UMRamUPnsKkoWJxdvHI403Fw9wpt3HAF4iqAVRVzG+t
nwvmNkmwF6Jhz69aOjJgidVRWEfCiLa9ly6XISVJzhGVEKIXSHWi1h7zlpvP3i/IfNSRS5OJHxam
mt1KpLQvbqxgdu/I8sGaQWgje5Al7GIb+MMrqFcOdnsbTBMvk+dOjLmorqlvgbf7UuiOOYqocnCs
Hl2jfWQYR0T20tu6nVr/h5GHbhMNqXhhZmsXuO8EFveyct0v/GwVlZW2Q0ZUcHYp2C43kcvWfuxN
iPBb/OjTO3qz2HV5ZjzDeQAe7JOKoNtl6kOH+eBupCFoS/GBSfJQi6/cqddNjEZmI6LyKHSsQUd7
FxdBGCAOn5fStE7QCKY7nG4AxaxVJC+TGlIblk36uC2eLC12RjY+OgbKKDZpbtfqfeAQfpqjCkMh
wGi4VJbajnOrf1uNm10GjhN3Yl2dwc5DOvRMOk11I2jB4L8BOyIJAX/UfDexiN0pgg0XWnPEru7N
xA9b8NJpiPX2PRma5bHTurqtwZQwRiePR5dHeSwsz/xVNBo0WeN3tF6TlouWNuvCJh3TLUDe5Rds
peQGv5x3BJUKHWwAiznWQ+z+jzfo/wkqZEkLsAfInX/rD/rIQaJ//dUd9Jef/adDyAJkTh6R/0cs
Qia+n784hFyC0+K/EYZs6gslIcY14mWR2lqNSgrERfJ//rfw/7GmG2Xge7b5J6/o/8MfJL01lPU3
nw50dWsdh0pcc4Fj/hejHmbepnNtiUKQuWDRuQiPFES5MPGCyHM/1ByJR4tg8QaGNTZPFOIpNPNZ
ij1+iJ4xj0f+RdkpXjfWKZwZLavbywA4vUKYCxlvu9tEtsXRg1j9meBMP7I02Xg8+5jtBwkfWZEx
EPvkXPqrASg1r1Fh2fsKE/q9sIGDF63DKL0a+C0kll0mYcNEF/14Y1RN9zvuNORNpKv/YO5MuttG
sjb9V/r0uqGDKSKAzbcgCQ4aLGqwbGuDI1s25nnGr+8HkipbdrqyK0vdX4kr6zBTIoFAxL3vfQeM
HzKGmKlrOB/0tovOAxLTvIk+nsK/q7aZaYWe3WaR17Sxc4b7iLt2wxnWkBFruzC23MeYQV9GOMqk
b43Gt3fF1Ok3ao6iy6SEyMOdUZvMGhO1stthPtWQhW50uuStCRMUyn1K+8mJWT+kSKmhzQcp1oxO
Bd8p6CeUF6ENs9gQnXNF9RdsZFUWR0yky696llYfyFA7t2eKeUySZrIEV3g27ucpPe97dUYS2VWo
dVBT7O6o8uRC485tOLVaDKPhvuBWQqhbPLZboGgybQItKy9KZ8RFADRD3rZCSZjpOEzrG8OOrvAH
OKsTvFNKwP2NnzMCIA/DoRGAW4yJEbgXvUxnFg8QGqeLqa79ezceBclaTnmcG6Mr1hgCSdx5cOKp
46nZj1LTmW8D6sB4tyDzO1SXK9M1koPMRrXvyT/bp0HXf+yJ4zIwDRIJhmgzrb6lGbjJ09QXZqV9
a6zWX3eJwIaGlUYEWT6oTwOd6xnE0mGVBSFIBo3G5Pl2Fj1GcmDIyarcMzuDkVuIMN/phcjve/TQ
pII5iJfQB36ty+ILlBb1xXVntVNZnlxnid0fAW3AK6OBzBKAtHPCsNU5Qcx4thtM4Tjezv1iDJhE
jvm2rixt7+oDaTcAZVeKlj4CP2eQS5/IihZ0/aTBdWih2PvTEQ+lZeYxrg2VIf4iD31aYdOo7lq4
99DbXEJooSNNN2MUjAdy14yjifeO7THg7R8oJwYsiLEzt2ZsPnFtae8HaOjnPvZ8e6ax1m2jOwCQ
5CENl7hm1vep9Kt6nRDdVq37URPVBxcOzIgnS6bVG9tQDThvonmJNYCH+HTOe6SZI5HfjJDWuZDD
sZcyu7MxHoAdpHErKgbGoddQedpED1rF2Uz7sbbwSTxVsel7WoTUge2ClDmcc6A5hQKEebZRWwGO
nffS1Y+jgQJvBRlyusEm1ji1kxZfKrsyim+6awaXOI+H2PIbsbntGSt40agoC7Gd0M4yH+//9WAM
hcEfBeFjPpNf+OD+R5h2ndf6Y+6BxaUbgwSCvcJUstq1UGhpw+kNIHGV58h2MKMp29FfgSdYW0fg
X07tnkbnZuybW9gv8twIm/FMr9uQEtZszwkyGC7CLM3u8TkaZmqeorfW5vSxJAvdXYvS8m+NOjOx
8ZmZ25PfSPRmVVNrluMmssH2o9SIdioyeLamIUswa0mHK6czxquJbJOWBw4D9hJazoYt1TNUu9cq
vd4rLFfPmZvqezcR/SmtenU0pJsdI6HEXcWc8Q7rxeL7YJWoQOexMPf+7Gg3CorCZU+ndAfFhqxE
oxzIjseLZxW1Kj4TusuSXpRteQJ/pzCG8k4USO5IpKzvIsgaLAqGLTjOp7NnGZPcxkTl7sw4CaFr
hANuPkHDxK2mWNQAG29sBf4Zhg7ZSjipTAcYadZ5kEXzbsok3Au3xV8c9GAT4KJ4iOvO/ZxrtdpW
jdldV2QJHPnRPwB9qM/RYGS7LKjDLZHU1QdTNt2HXqb510m1/dY2zOyeQb9778LEPHayj3bmqEUY
Rycmq122XoYPtySzDUlnnfRAfVWWwUFKk/A0mdIOhzG7WrwV64M9G9mxxBluHSfRN7MenTVknVOU
Z+zxnGqZX9yX1oyH49Sp6wAr1CAbp4MTquAWZVj/PW/0YYMxwLhr6yFPmeqaleHJac4WC/kQu53a
HoatNlmLPrO2yvNSoU6abZ3+sGOMnDrYz/mgDHsRMznKKNZt63M91acMULQLo+j3WeAgLohgDGl1
vWer9oBC83UWZ9XeLTPmqSgd18aYEtsE2Y5hIhR1Kz1NyMVckJ42gwqC+mxtht24TQi9OIQdgOE6
MILcq0lTWoV1fa8vSHPfMYJbO4M1IlPWxXBTN/O0QcU1e2Y1QBV1s/4aVySBEC8o3D0Ewwl7W8xq
ECC6qyG+VtDdVikcoaPecJ6VnZXsfdcsv1YOkj1GToaHvYG4BS4C2BhL+yIE3NpMhV9ujCafzuj0
d601z3sJO2aXM+yGIu8/Qg3k1yLZGwHiScX0uCravi0A+oDzkSr7B0Lgi/VoayCaIsGHNi70G3vq
G5BkWFeXoconsmgd0dEbhbq9kflobDMaFYxPde3H6Nfy1DCL+o7nozpXTtntLSB9jpmueMywsNs7
ZolgySznB+zyQBTD/OgnxgKmklYX9Jl/ww3IuKYmcQ1VUjsPjDFBkZsq/MAAOYb/MzGNbkYDMuFc
HFMr188bKLyfh17vvT4MSn2ta31fbgcT5yz8rkedzUl3f2SaZZGgqLnbgZaM6HerXmhOzhB5RGFI
eyfR2R5yO9euVZAEkQe/qd/n4zIopSWWJN2QdnBNfRHlFympnOFGy9IwXLENrMMD4//ZgYBVxcMl
jV99Orh1euXDn/6eseNMKMIQJBJH7awaS0YfrSwjfpByF5KrYdw2qk+3o5nPMLITZe0zP4y2FrYf
aMIi3bNcHSk8JuR7PcONvVNDeY0W9lLDizwnjp0/2BzqYizQzsL9cMjZXLWUFusGct26bobxcYjG
8cdQmo9NJOp7lfYPssSseiUI07hkgicB+TvE3iqKmO1Zw7kiWI9iVe9RxZj1pvAZyKgmJCgBlhzQ
R2edWpVza85DBqYwJJ7ZaQ76/bzZhA0jxLTEKE2kIt+GsILP4jwfiDb2tZ1fDNoNRLx2NwhDQufI
5YWMJ/8Rb2JryzMa7PJwtrgNXXYbiUJeRJYTHMmhHHcIRdqtFmcGjtepvAnQTJ1bOUfnOjZnwnLt
lgQDjL+D00lT/bZRbXCoSSH+Sn7O6Dla6R/xeUdOOhSoxtmisPiKxYeuQPanpb7lBZXGsB/ufLQe
HISRIKGj8DCpJxIh6bViTX6s8sAzw23cKp9BGPKYQ+YW9pmCVQnZesSKZpTGDarYxYeNmVynmf5e
IKPaJdNg3LVA5th5NsSPyH44RKlfHNWQTgY52aCMREZq0WcR1e2+GpISAbiFV6IZBZd2BHvNwbrg
joMOtrWskXshozM9e3CS08jIcBzz246tpcx/gI87F7IR6cc+ybMdAKnuVTi+7GciCjGbm+wt/sb6
Ie9LA1dz3+WogV1FaEVibRiRj+eN3l4JvdlSpyLmU3PsOWn9SfOLTTXYWAFO2pe8hxqK8b/4aJFI
sZLOEsJU0LSUUjW46+sjwywgl9oH/1yNdgRG2pA6IbsMx0UWBkK2rMXgED90eavbs9igSvD5BqNa
oTnyT191li+6jtc+aab9JyXHL33a4pH0StGkORgpI3snyQ5n8ZVmiQSSgAvq7DrR1sTBflE5ax8r
1xxvHeYtnyenLy/NcA7OnMmsvuAoGHs244dupQkz2IUdo38MBectdgwAcSoBzCLl6pgD9ED0Jp0B
8TF3QF+7NqWE5pvRZ1sye6Koyfu1b7b5DpTC9mwwIQft5Tf46cHG0sbiUkM9vc/qJai5MQ5aWwrP
r1zjs9l16qw1BLBT5RYbxWfHvEtAYE+TZJsKqwaVrZz5UIdK3VOpBzsBe4vh4/BQ9OKIqOzGpkJZ
TQlTFNQ400bM4QTbJD/3o2Q+j3r0viJx0hC4ucbXNWHWJrfpWDOi0gPMs8wWmTTzugDj+CmjKET4
ZxSfkD2m5qaMHGZ35Cb2575S0yGsqHZXbWDKq6Jo+ssGygNWgGwHF1OYmN9Fp0ePJUzDTWlrysNL
1LwuQO1JFoavMfvS0r1i6uWZ3XbaXphEOzfxXDAZxaNy9qDzjd/7BuQrxN817wRsnjpjXjdW6bYP
6J3kIiSwCHi48Afh9Jsqq1syaATuhwTpNB5qwOhyTnJO6DCHO0L/eoz02meSOvbRNQ+6exjdcTiQ
EMJcQqfCNpgn/yjDllIwG4bxFqt6oa3JecEB1KnyDvmCoRXn5lJn908ld/pUfptLJc4pTFEel0Pj
cSHNrU4v/xSeHF5aSyUPosje5Cz1vfFU6esxcuhuqf8HzWnP3aUnSJbuALOB6EOXwuZdFKHOZRMP
cPJhD9xmS4NRP/UaksqMzWhpQaynbqRbGpNsaVGg19Ot+EvjMtS4h2RyMNdOiGerZ2Eg4gUhs0D3
qeVxntofQ9WYiLRwiBEPSaDBWrjexIScG56wcN0EzU+A091DmaMpwPgS09q8b4/2WMe7yUHsxyZG
v8Us/aasbXxHtPJaM6NozxyoOLdw673OOsMmf4lKWZtg0eNqHs04NecVM98lOoaUHbnqYpS3oUMZ
tnK4D+sw0I1PZiXEukMVc2T0qu4q7gFj6qVlTJbmEXiaPjKJ6+QiTFqQAppMO1+sMJ46T/nUhbpL
Q1oaVrKrliYVRhU+EmSNnVd0sFAnMYxfmtpsaW/5kEujS8sLTC3v0qUNlktD7CytsdACB7eW6gvm
F8lXuTTQ3dJKz0tTnS/ttfPUac9L0x0u7be7NOKk4tKTp0t7TgQeaXdLy94uzfu4tPHtU0dfL819
vrT589Lwx2zSmd/yLmxWdGFPyECygATwzdVeLMCB2Xbu5q93VGPxzfsz8EVtiDDOVEr8IhF16yaY
7HFydgD8N/Nn63P1oH2urocPzRUEo/wSG/e//ou/WFQjxrPQRtgkkdq2y5OvfvmLC481wx/b3/XS
8b+mBeaO65ocjA9wjWYTQ5xisVauWrk2giT8aogZby7bT37MhhjJRSeMYZvHA6M7GMct9Hbf4kgy
Cxj+u1n42qemLeWtxJ88wXG7GCAs2AtvtU2mmnz7ojq3sjo5RQU0HjiYedxAB1ZSOdfdODu7nmqK
3jmLt6ltVNupGaozB8vcewJs4QYPfnroK+Hs2inV8IkdkIK3eQKfDxKnuWRgnPXUdzchE+AH6A+4
rJAdB0VhjOo7G6Y1jyNB0p/+Lxd1UTD+dBtxknBtQy4+7TaK/18M1Br8qOj1Km03tY59mifRoTUJ
dRWT5nqmSbtluuQu6/aScm1AdViLqBM7EpKNL40ThvmaYV/wOPXdcJql9nSmOUZzdABlP1PfFXcW
vIKOcbTX6e5cUgMP13XW4jWTaWXCoxlb/WpSU7LXW7ADLEViQ21koCn4DUFeeMSp2aeWa/YUyAQI
PtRzB4UqayVj6Hk5j5jwcTTFT8fU/HRk2U/HV7icZO5ypj1dsP82ue87jAAw0N+CPPGA/3NztfUC
00cB/dlPWP0f/+czVI+L2pNvoE1IqLOg6+DuL2JeeaIMTI50iRmJa71KA0DLq1yDLlnY7M4g9jzW
L1g9bxEosLj3Ww7uILrxt+zVDP74T0sd/BNHQyWwcpNY2Jq/+Kt1oVR0z/G0Y7+tPsIIVJ8rpswX
yL0W3SKDxS+tpn9dOtPv6GPze9RT01qytDpa0QFvUMyUPCU093NNrMlpn5UBiFmUPhKY0T0/mP9t
6+x10sR/7b4Xi0de85Tj+0cAxXPkxB8/vo88imWb1006c8ht/GNRFf/Vujx/eGSE9HpN/vYXvEyS
sP9j9GNJOm+U4wjL/1ie5ongcFn2P5t/mExxXtz/LFToShGXbYHsoh5bVu4/lqd5sngJ4ojMusXM
g57jb4ySiBj6aX2ipyDeRnGsLa3Lq9bETtsiITcs3BPfly0FB3x+SsTAXTtlVqHhcvP5TGm5s+us
ujnVmUScFiaa5lUv2/jDUC7QER5hIttg5g0Mo4GeN64z3ZHe4gJJo+IoYe9lKDnx5HCvMd9urlSi
44WnoCXCtMZfL6qYJwQaY9LegBxs6T5pvnFlBl97xBbloScK7wJo1DrFHnl46P0pRwKXCLyvsabZ
4RtEMsQsIpoGnLSwSx0mKe/rKaHrtQp3nHaTjnQH4/y0xzKswPF+XU2hHW+QsjMBiR0ZXY2lwhs4
nuvqVqguu4EjMG5kwmR6PU61/GJOSXYcR2PS1mNvJj0OcHOabs2pCpeUxFD/UsVTgmQSrI3hWNKq
6xEBT7ESHDTfYqGNp26c2acGbJFrHK9yb2nUbuj/uk+6X4sjcpDsGgao3GmtTcBNWs67ZWzh+doS
mIPN24K5CYrkQI4bU1KVb3vY490KRnn4zR1G7qOWNqHrpYzHOeeSYT4rNWn9GPx+vNGrYMbaNcPc
0Q9K+FtmYpN1gALEC5vYr9eosoKPyk57yv4ua49h6eofMFjBPd0dS7hhHUKrXUIi0EgART98VIbU
7hAN0ZrIQekfQcdxznNlNSVeRFl7RD5lfo2NodrVs1OtDfLh8X6D7H6EtUA3XpR5pkg89l1GekkL
MR0Yd1VZdb5XwJ1EPGUgzVBk8hYzyoQZCBO05nuQ+eOt6As8cRu7JRAPEBvvHr9zLohWlCSjFXma
blrcHXZJFTfupXA5uznRY0agwu2RNk1aShzLMKsxQiVWFTbmNLlmbTMYXd/z2PLtDcMwQV5fnGNx
QMpsaqw1N0Mi2oq6vKcbCj/rZslcE2FOfpkJLBOwH8gmqMJDmg17kSMYWnNhx4V1t8DEiEn4nBZ/
iBkD5jjXgmi9mquPACxrLP9HFCM5PK1T0//O3K/dOzGuCN/KtNcBhOl8+p2V+TNLahRtsVW1FTKD
RAJ63rkhmWB+mjqHcBiabzAyR0+rSyR8epTxMxQc7RyBc4FbTte593Yxz/GxDXtJUiN5nNibT9nH
iujKx0nM0ZcxYMywqhkkl+A92RIYVYhtrGuJDV0jHw5lCCUKlFoqxGWalMSg5VXqoAtOWmMNHNZt
J1cnoxgrMee729fSRD7qGh42ERCx+rFVV3rnN4de9g1m4GTb3Gjwc7+6tWg+xXGoY2E1z1vRNW2B
xmKUjDtrF0GcZjefhlqIFTp7xlkzBS8MZl16I8FqAKy933uZiaQbIJP8DrPEJ88jeBTqIQ4C5Se0
4slZbiQi9GQsidmJGQkdkJiQWGEgfV0JViVcXQA75JSCaN0+VtKTTdHDxgZPBdPolLsmRhDtaJJO
19KdQ2db+EXpe6mYxl0VaGKHkF9HI5cMNKPcxi+1m8yPrdYEkgZcny70rNXQs4TBhQv4DaBNBtn1
kJXRTd9rcJfSXhoHfSDzwEaMeh05AygGeAaA+JBrm6Do8s/4MSuvR1q1bXzfv207tpy1hc8gug7w
PeRKZeThEwFnbLad+J6usbiM01p4TUXmCR3+eOj8en7sJgsyHT5rhbFLksJSK9kv1hpdUobWCqFb
Sa53mXyhaDGHU5TkWKMJBIQr9vD2I3cHCymd8Af8AZDl9mlbTaeaGIcGBmWD60ThAHP5kdYlWH+Q
McNajYuvwEZMt+2ORVjpnYvsdqjie6Owy8+iGrA+rKqaOG6zs3GTsoEqwzW8ehj7rQJY2ZmlXt41
sREn16ZTZMSMQNc/OoHOsMjSgALOwnhi2tNz+WdSZVuNMJNy6se9mcJoOtT61FiXZVXWF8GMkeJq
QEsCoykw3Q91pdKvYxiEP0KtLhCm6dEtFpgNnnJomGg8U0LV4wr7xjXMAeX5k1FiypWraG/nOq26
VlTjqd1XkKYtEtZOu6GX81r0adas06LFyy82+2ZjBGDWveOPRyJvyFfXCEzf9VgFHozW76CVdoga
xow2cltZVnxu1QaQnlm01l7H3G7Xj5c1PWBAdE2zKLaafiZeFSO/LoO/hcuerSMTRab6VVVJ7ump
dQYHkiwXhuT8X2BL1VVZqOYTRPrhlFZLJ6dgarF3aGD04WYHcrkJWlWc8tgI7C4Yk8ZQKJo9NhSw
nNNZYu6SkgRbu2etxFM0TiqEHmHupqehNYCUMEWskg1G7NBP2XZy9iGh7WrjGr3/lWkUzJv1fn5M
OQ04qJGnp3mKSHouFpjPd9Z23rTXOVLtH3gIYikStMwBXPmg6kFuZvQweIVbAUhD03y0CNfZO4lQ
PLopHigtDlffq8j1+zX8CVwmDegpCVk2ZLwxLjo1fIY/coo6Jl7GjOEMNOR6QwuMt5hVMUeG+bxx
ex86gGAj9+Ihr8hdH5GmrW3Qtm7VkmQE3x8octfEExTDOaqSwxwhFDJjOz0lOMc6d5w2PiNE3j7r
UOygByPT5bPLOts0Ine+Sag6cLlBbS7tLHVI+tLVPm7b3FjbpY8TwaiZj/ACCVhChE7OE9z4Kp0j
28uSwN7roi0/6jmqjqHj9hduhU9hmKhsBb9wZoIscfJDoK8+5IkrvxlRK3SvdodiLeu2vG9rV6zn
toJQaTbNN4Ily6Ns5XhBBDai7yGJgw+NaJRHjmbIBEWPmpWWlha+zMJUBFRaMVHrXTp+JP0X+rnA
MOK7H1bhZeZr1jmQmcoW17iqQ9jaGhygRdd9IW5V0dZUzo1mWz3+mboffFH6Yt8WRP14r8lQu086
m1zLuI1HZKOx3IWIPS5dQjlPQUaTH3ze+kiI+PTVnbsI5mc5NZRnUc1Ipq+d9tZldF+t4mYQ8cYK
UMiv0LFPV05QO1vcAYe7GWBiq6o8e3BNSalRNvg4wjr1mfD7NerftVlZwY5bNZwbQYCBLA719RWm
SAQYFKVMYqZeKTuVWYxtit07ig+IFVpX7LoW3s2hrFv0Po4Lv3+bGqHxoSlL+5Ophp4gpwYMDuVc
1hsrcp2JeIzM2jmLAjXjdmCPTYs61IUg6cw6zg8MqiW65Gmovww4UJCdCxBYrKM59S8YyVjIzAAn
DqwQd14XZtQ+BKHiUAN+Nq6TXnH9G6ezB8Kw447smCy9s+2wui4r3HSQ7ljWdTxhmtNju7PWTF2d
RY1wLhfh5vfIwFRxxSogBJZzN2cDxJUEjz2nFjdM6KPQiyZKgtVQN2Hu4VRR4hCh0cIcHZHB7hx6
Ye8VkTE4GiZYUXC85Y61KTgq+gszwg5qxV0IgjUSGLWTRutcEzBTVpvZHZx5VWBM8wOXUpyYc1cz
ProE1j0gqtAfHSftuj1CJk7yhFluR7HK5G9VddVYrtM4Lj0sFIgrJ4nyhwnJ65oAnhi7ZITbW2pM
DBVtJ/JmVdRXncMosQZtPkdn4EhcWyIWDlaapodBi8M+1SUowGXjP7hDZV7rOSWGR9Xraus6w83I
G0vJIBSuiPYj7bCFVnVXk0vNF1/NfVVAeM1Hr1YWj4nNubxhZXcG+WZ68WBh5mUe4z5IPb9ndM5P
47HASWta52UxYB1EbDhe3XUNYzWrwqMP8nuwEie4TPSMWdckGYLSAZnVzKx5wMRO8SsDvMVtPpMB
leGuHBQRPZXrpz8KYPxrDLpwCUr1BEjcr9BgxSgWVQdlt65HZvVW3XrSh6qy9nUqwBVxpGgn87Yl
a1dnLZZRgmRED0rCrbT6LBlnWPGjARUAnw33x2Qrn5xhjbzCCyOOtFuS2PgtTtiIxSt7YZjRcy7k
gc4/Jdq4/obohqJ5to3gmpMbc0MLE80zxy9ymCZ6UjJ3LqydruES21cKm2HOEC+o8ZySZphgvh2r
+WDHYbzSdNV5bgE/v5ua7oIPbZ9iPaR/pg6oPBeFzDYxIou01TYtVmpAU7dywbHXscKkZ4yT7rqw
O6DPzALvJaIL8A9LouhK6QTDGqULDIjTP84ViIM8Kjjfw6XhK3Wqu9N5Jj1IoUx5XDe4N+us/Trp
UDxWWmSQhTeZyX3QFOoqmA2gR7qD+HQgumI3a1m2ZhxJaB0KgClsjS9ILsMrZrM8l+YIQ86XYkQ/
1Q97u0yDMynLhOsuo1MnTDFUGVUkMO7VzU9VPSv2qKiQS4WOMVmILAOHAcTScASDmGo2ifSvgi1m
H1GWegkPTnMBJ6ZjEVk0xxjOUrtqqKQ3gTXjBQlPGbuNLCpuUaU5W0o4eZRytG/subAOSjbakfwu
y0PjgAF+EMv+FjeAgBQWxzRRlzuOp8Y+vOXR87+EOFGwtflk1TkuPujIg9DOEbOsZx9yrKRPLT+U
R4zUUSJWjkP0siX15EJoVrcPo9D6EJlIkFY+o5TLOsWHZiP0TNuEeocfdBZMzcbv4vZmMkl37NKu
PwKSi288u8bRCGv3e0VS7pbUP2J8pTmFmBENNsOctqCqN0iTx1c/vlC63hLa1oNlZC37VdR1JtHv
ThYT5NiFmy7Psp3vVCRTutp4MEsyYHxCD8+0lC+bLOb8K3SwSG7aoJCeYMz/qeaoQ3eInyRDOJSv
kd6mN0gjnds27IienzpG9XgHD1hfEJ27Di1zvChw9l1kjEMn1rYK81sjM+KttHv0/Lb5Q9EMcipX
CbYXY6e1OAaP6m45Pj2S0Zz8GjbjgIATMcImmKvC2XZ90cLEH6f1/6I5TzFmttK9NQkqmrQeEetJ
dK9YlITiElpH3kHOjfEQeULM/l9Djf8fQMSXj/jbVNs/bBqXd5/yz24LHLOwqXqVi/sv/Uf/AOV+
/4v+tZhcrAMgcROq9RNE/vSxnj7OX/2W9IFP3T0SUWKIE1BNk3kFSPTT63/+j7TIg5e3lX1CWi3w
nokt6vICa+TvvbpK/+w6/PVXvP5ThvCff89ffYFnzv/hkS+wQKBvvQjGCfM1lxgsftMv3942XyDW
d/a1X/QMv0LRf/f+m3x1MGZcdZmELC9GEK+ugGOidDCg8OpM6f4jV+AbeEW7hE4HUZG/RtXpyP61
2/7Lb/g/a98ELRcmzC70N7/57spdHg0JBC6e1z4Enf/IJXh4zLAgi5q2jr61ry+Bzfzq+UMxWwm+
F39sJ39nA3BPbO79MgP77UWQJ4buuJZJRfL0en8bgJBMiLkxb7gG4kQJIYjCY+j39PrpIWAhuFLY
i+3v87vPC+8dbYLLWWAuVsBvugw8D5J21lAM4H/3PBgn+GHrEm3R82V4d8/D89jYeusjYcoTvqXD
bBgTg6fXT8vBtZFyOQYjuOerpD/vwe9oOXAdmEy/+Vg0FTfcYtCNE/rTiwX26mxwl61BWYrJ6PPr
3a2HZX751mdCckaQQIbC7OVb/nwNzBOH05F9A++35fXutgYquzfvC+IEipEjDGE9r4NfagTe1omp
s93/VI3wTw9IY6nd3roCLAbxPO6CvNOn18/fXjknKEFhf6EtfJ8rwEBR9uYt0T2B9IIDPMf/qy0A
do1FdoGtL2F9y+vdbQGs2Zdn8t8vDyxWAA+AEL8/D5RY9sEnIfDzCnh/FwHfzrc2igiYIcAITpXf
FwfqBHoMeQTk7L7TlfDSMb21WCTOQSJlRcn9suX/3DM6gsUCY8gE0Ht6weh5X10DyKnx1k3RsCHP
oYGHs/Z8u3/ZFCkNeGJ4+N7rsWhwXD3fmX9/XzDI/AAzUGrh/f68K2I0YLIKCKxZXu/uXDRpaf/F
7vmXs/VV96yfCIhxhIu+tAM8WK8ugkOVjALPtvSXvvL9NY5PVNE/kfn+NoLCo2DZAAV80+fXT9fB
Jf2F4kkhM/jj7Xe2Hzxfhzfvi2x8lMoGTm9/fNFX68FdMDZm/zSQf7z97q4DojP3zaWSdYISgJZp
iXJ+fQFoFZhEEKL1XlEEgDDHgi751p3BUAQo6VLQM/10BcBRdHITwRpfrgBvv68lANKtv/XbQxF3
YHIL1+SQfXX/KRM5EBy2w5eN4N21ishm/kS5/9u7oTwRWNwsqPnz2fdLYbBkYfH8O9CKn17v7iJY
hK2/tTpagBO+H2Tx3x4JjnNiK3YaGubni/DuGgaq1z8l2//dlWBgksSOouu/DlX49jjHmfrLZX5n
uBn35c233zphZrDoBX4uiTgCgVYVLdLLfX93JRF1zJ8S9P7ufQc9fWoUjRfQ8NeJEmWjlMxd/tE+
vbsdwCT7hl2Lk+kNrYFx4pAcCLvq9/2Re0IptOy3zxvAco3e10n4yvPsTReC05BeGPnMEqW4vP5U
ErARWDTTz+++v/ky0hzj+Tn991cDkAGdkCGQ7fxUEjjqhKDaRfnzXr/9PxHi/d09YVHULapM2/l9
VYAUzyFvVYmX0ujdYSZgGYbx5uLIYMDGA28iRPxpHbhLa7Bkar5qId/ZdsBEiVHPW2tjk93AdE1C
TH++AMoCQgVOEuplu3x3C+DlQXgriorXI6E9mORgG/n0+qU8VifsNki4xcsw4d1Vhr/VMr7thLBO
ENvCZPjHdP3noonMXcHlsJkxPF+xv1Ev/Aul5YvE9Fv6/aH+r/8NAAD//w==</cx:binary>
              </cx:geoCache>
            </cx:geography>
          </cx:layoutPr>
        </cx:series>
      </cx:plotAreaRegion>
    </cx:plotArea>
    <cx:legend pos="r" align="min" overlay="1">
      <cx:spPr>
        <a:noFill/>
        <a:ln>
          <a:noFill/>
        </a:ln>
      </cx:sp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fmlaLink="$D$3" lockText="1" noThreeD="1"/>
</file>

<file path=xl/ctrlProps/ctrlProp2.xml><?xml version="1.0" encoding="utf-8"?>
<formControlPr xmlns="http://schemas.microsoft.com/office/spreadsheetml/2009/9/main" objectType="CheckBox" fmlaLink="$D$4" lockText="1" noThreeD="1"/>
</file>

<file path=xl/ctrlProps/ctrlProp3.xml><?xml version="1.0" encoding="utf-8"?>
<formControlPr xmlns="http://schemas.microsoft.com/office/spreadsheetml/2009/9/main" objectType="CheckBox" fmlaLink="$D$5" lockText="1" noThreeD="1"/>
</file>

<file path=xl/ctrlProps/ctrlProp4.xml><?xml version="1.0" encoding="utf-8"?>
<formControlPr xmlns="http://schemas.microsoft.com/office/spreadsheetml/2009/9/main" objectType="CheckBox" fmlaLink="$D$6" lockText="1" noThreeD="1"/>
</file>

<file path=xl/ctrlProps/ctrlProp5.xml><?xml version="1.0" encoding="utf-8"?>
<formControlPr xmlns="http://schemas.microsoft.com/office/spreadsheetml/2009/9/main" objectType="CheckBox" fmlaLink="$D$7" lockText="1" noThreeD="1"/>
</file>

<file path=xl/ctrlProps/ctrlProp6.xml><?xml version="1.0" encoding="utf-8"?>
<formControlPr xmlns="http://schemas.microsoft.com/office/spreadsheetml/2009/9/main" objectType="CheckBox" fmlaLink="$D$8" lockText="1" noThreeD="1"/>
</file>

<file path=xl/ctrlProps/ctrlProp7.xml><?xml version="1.0" encoding="utf-8"?>
<formControlPr xmlns="http://schemas.microsoft.com/office/spreadsheetml/2009/9/main" objectType="CheckBox" fmlaLink="$D$9" lockText="1" noThreeD="1"/>
</file>

<file path=xl/ctrlProps/ctrlProp8.xml><?xml version="1.0" encoding="utf-8"?>
<formControlPr xmlns="http://schemas.microsoft.com/office/spreadsheetml/2009/9/main" objectType="CheckBox" fmlaLink="$D$10" lockText="1" noThreeD="1"/>
</file>

<file path=xl/ctrlProps/ctrlProp9.xml><?xml version="1.0" encoding="utf-8"?>
<formControlPr xmlns="http://schemas.microsoft.com/office/spreadsheetml/2009/9/main" objectType="CheckBox" fmlaLink="$D$11" lockText="1" noThreeD="1"/>
</file>

<file path=xl/ctrlProps/ctrlProp10.xml><?xml version="1.0" encoding="utf-8"?>
<formControlPr xmlns="http://schemas.microsoft.com/office/spreadsheetml/2009/9/main" objectType="CheckBox" fmlaLink="$D$12" lockText="1" noThreeD="1"/>
</file>

<file path=xl/ctrlProps/ctrlProp11.xml><?xml version="1.0" encoding="utf-8"?>
<formControlPr xmlns="http://schemas.microsoft.com/office/spreadsheetml/2009/9/main" objectType="CheckBox" fmlaLink="$D$13" lockText="1" noThreeD="1"/>
</file>

<file path=xl/ctrlProps/ctrlProp12.xml><?xml version="1.0" encoding="utf-8"?>
<formControlPr xmlns="http://schemas.microsoft.com/office/spreadsheetml/2009/9/main" objectType="CheckBox" fmlaLink="$D$14" lockText="1" noThreeD="1"/>
</file>

<file path=xl/ctrlProps/ctrlProp13.xml><?xml version="1.0" encoding="utf-8"?>
<formControlPr xmlns="http://schemas.microsoft.com/office/spreadsheetml/2009/9/main" objectType="CheckBox" fmlaLink="$D$15" lockText="1" noThreeD="1"/>
</file>

<file path=xl/ctrlProps/ctrlProp14.xml><?xml version="1.0" encoding="utf-8"?>
<formControlPr xmlns="http://schemas.microsoft.com/office/spreadsheetml/2009/9/main" objectType="CheckBox" fmlaLink="$D$16" lockText="1" noThreeD="1"/>
</file>

<file path=xl/ctrlProps/ctrlProp15.xml><?xml version="1.0" encoding="utf-8"?>
<formControlPr xmlns="http://schemas.microsoft.com/office/spreadsheetml/2009/9/main" objectType="CheckBox" fmlaLink="$D$17" lockText="1" noThreeD="1"/>
</file>

<file path=xl/ctrlProps/ctrlProp16.xml><?xml version="1.0" encoding="utf-8"?>
<formControlPr xmlns="http://schemas.microsoft.com/office/spreadsheetml/2009/9/main" objectType="CheckBox" fmlaLink="$D$18" lockText="1" noThreeD="1"/>
</file>

<file path=xl/ctrlProps/ctrlProp17.xml><?xml version="1.0" encoding="utf-8"?>
<formControlPr xmlns="http://schemas.microsoft.com/office/spreadsheetml/2009/9/main" objectType="CheckBox" fmlaLink="$D$19" lockText="1" noThreeD="1"/>
</file>

<file path=xl/ctrlProps/ctrlProp18.xml><?xml version="1.0" encoding="utf-8"?>
<formControlPr xmlns="http://schemas.microsoft.com/office/spreadsheetml/2009/9/main" objectType="CheckBox" fmlaLink="$D$20" lockText="1" noThreeD="1"/>
</file>

<file path=xl/ctrlProps/ctrlProp19.xml><?xml version="1.0" encoding="utf-8"?>
<formControlPr xmlns="http://schemas.microsoft.com/office/spreadsheetml/2009/9/main" objectType="CheckBox" fmlaLink="$D$21" lockText="1" noThreeD="1"/>
</file>

<file path=xl/ctrlProps/ctrlProp20.xml><?xml version="1.0" encoding="utf-8"?>
<formControlPr xmlns="http://schemas.microsoft.com/office/spreadsheetml/2009/9/main" objectType="CheckBox" fmlaLink="$D$22" lockText="1" noThreeD="1"/>
</file>

<file path=xl/ctrlProps/ctrlProp21.xml><?xml version="1.0" encoding="utf-8"?>
<formControlPr xmlns="http://schemas.microsoft.com/office/spreadsheetml/2009/9/main" objectType="CheckBox" fmlaLink="$D$23" lockText="1" noThreeD="1"/>
</file>

<file path=xl/ctrlProps/ctrlProp22.xml><?xml version="1.0" encoding="utf-8"?>
<formControlPr xmlns="http://schemas.microsoft.com/office/spreadsheetml/2009/9/main" objectType="CheckBox" fmlaLink="$D$24" lockText="1" noThreeD="1"/>
</file>

<file path=xl/ctrlProps/ctrlProp23.xml><?xml version="1.0" encoding="utf-8"?>
<formControlPr xmlns="http://schemas.microsoft.com/office/spreadsheetml/2009/9/main" objectType="CheckBox" fmlaLink="$D$25" lockText="1" noThreeD="1"/>
</file>

<file path=xl/ctrlProps/ctrlProp24.xml><?xml version="1.0" encoding="utf-8"?>
<formControlPr xmlns="http://schemas.microsoft.com/office/spreadsheetml/2009/9/main" objectType="CheckBox" fmlaLink="$D$26" lockText="1" noThreeD="1"/>
</file>

<file path=xl/ctrlProps/ctrlProp25.xml><?xml version="1.0" encoding="utf-8"?>
<formControlPr xmlns="http://schemas.microsoft.com/office/spreadsheetml/2009/9/main" objectType="CheckBox" fmlaLink="$D$27" lockText="1" noThreeD="1"/>
</file>

<file path=xl/ctrlProps/ctrlProp26.xml><?xml version="1.0" encoding="utf-8"?>
<formControlPr xmlns="http://schemas.microsoft.com/office/spreadsheetml/2009/9/main" objectType="CheckBox" fmlaLink="$D$28" lockText="1" noThreeD="1"/>
</file>

<file path=xl/ctrlProps/ctrlProp27.xml><?xml version="1.0" encoding="utf-8"?>
<formControlPr xmlns="http://schemas.microsoft.com/office/spreadsheetml/2009/9/main" objectType="CheckBox" fmlaLink="$D$29" lockText="1" noThreeD="1"/>
</file>

<file path=xl/ctrlProps/ctrlProp28.xml><?xml version="1.0" encoding="utf-8"?>
<formControlPr xmlns="http://schemas.microsoft.com/office/spreadsheetml/2009/9/main" objectType="CheckBox" fmlaLink="$D$30" lockText="1" noThreeD="1"/>
</file>

<file path=xl/ctrlProps/ctrlProp29.xml><?xml version="1.0" encoding="utf-8"?>
<formControlPr xmlns="http://schemas.microsoft.com/office/spreadsheetml/2009/9/main" objectType="CheckBox" fmlaLink="$D$31" lockText="1" noThreeD="1"/>
</file>

<file path=xl/ctrlProps/ctrlProp30.xml><?xml version="1.0" encoding="utf-8"?>
<formControlPr xmlns="http://schemas.microsoft.com/office/spreadsheetml/2009/9/main" objectType="CheckBox" fmlaLink="$D$32" lockText="1" noThreeD="1"/>
</file>

<file path=xl/ctrlProps/ctrlProp31.xml><?xml version="1.0" encoding="utf-8"?>
<formControlPr xmlns="http://schemas.microsoft.com/office/spreadsheetml/2009/9/main" objectType="CheckBox" fmlaLink="$D$33" lockText="1" noThreeD="1"/>
</file>

<file path=xl/ctrlProps/ctrlProp32.xml><?xml version="1.0" encoding="utf-8"?>
<formControlPr xmlns="http://schemas.microsoft.com/office/spreadsheetml/2009/9/main" objectType="CheckBox" fmlaLink="$D$34" lockText="1" noThreeD="1"/>
</file>

<file path=xl/ctrlProps/ctrlProp33.xml><?xml version="1.0" encoding="utf-8"?>
<formControlPr xmlns="http://schemas.microsoft.com/office/spreadsheetml/2009/9/main" objectType="CheckBox" fmlaLink="$D$35" lockText="1" noThreeD="1"/>
</file>

<file path=xl/ctrlProps/ctrlProp34.xml><?xml version="1.0" encoding="utf-8"?>
<formControlPr xmlns="http://schemas.microsoft.com/office/spreadsheetml/2009/9/main" objectType="CheckBox" fmlaLink="$D$36" lockText="1" noThreeD="1"/>
</file>

<file path=xl/ctrlProps/ctrlProp35.xml><?xml version="1.0" encoding="utf-8"?>
<formControlPr xmlns="http://schemas.microsoft.com/office/spreadsheetml/2009/9/main" objectType="CheckBox" fmlaLink="$D$37" lockText="1" noThreeD="1"/>
</file>

<file path=xl/ctrlProps/ctrlProp36.xml><?xml version="1.0" encoding="utf-8"?>
<formControlPr xmlns="http://schemas.microsoft.com/office/spreadsheetml/2009/9/main" objectType="CheckBox" fmlaLink="$D$38" lockText="1" noThreeD="1"/>
</file>

<file path=xl/ctrlProps/ctrlProp37.xml><?xml version="1.0" encoding="utf-8"?>
<formControlPr xmlns="http://schemas.microsoft.com/office/spreadsheetml/2009/9/main" objectType="CheckBox" fmlaLink="$D$39" lockText="1" noThreeD="1"/>
</file>

<file path=xl/ctrlProps/ctrlProp38.xml><?xml version="1.0" encoding="utf-8"?>
<formControlPr xmlns="http://schemas.microsoft.com/office/spreadsheetml/2009/9/main" objectType="CheckBox" fmlaLink="$D$40" lockText="1" noThreeD="1"/>
</file>

<file path=xl/ctrlProps/ctrlProp39.xml><?xml version="1.0" encoding="utf-8"?>
<formControlPr xmlns="http://schemas.microsoft.com/office/spreadsheetml/2009/9/main" objectType="CheckBox" fmlaLink="$D$41" lockText="1" noThreeD="1"/>
</file>

<file path=xl/ctrlProps/ctrlProp40.xml><?xml version="1.0" encoding="utf-8"?>
<formControlPr xmlns="http://schemas.microsoft.com/office/spreadsheetml/2009/9/main" objectType="CheckBox" fmlaLink="$D$42" lockText="1" noThreeD="1"/>
</file>

<file path=xl/ctrlProps/ctrlProp41.xml><?xml version="1.0" encoding="utf-8"?>
<formControlPr xmlns="http://schemas.microsoft.com/office/spreadsheetml/2009/9/main" objectType="CheckBox" fmlaLink="$D$43" lockText="1" noThreeD="1"/>
</file>

<file path=xl/ctrlProps/ctrlProp42.xml><?xml version="1.0" encoding="utf-8"?>
<formControlPr xmlns="http://schemas.microsoft.com/office/spreadsheetml/2009/9/main" objectType="CheckBox" fmlaLink="$D$44" lockText="1" noThreeD="1"/>
</file>

<file path=xl/ctrlProps/ctrlProp43.xml><?xml version="1.0" encoding="utf-8"?>
<formControlPr xmlns="http://schemas.microsoft.com/office/spreadsheetml/2009/9/main" objectType="CheckBox" fmlaLink="$D$3" lockText="1" noThreeD="1"/>
</file>

<file path=xl/ctrlProps/ctrlProp44.xml><?xml version="1.0" encoding="utf-8"?>
<formControlPr xmlns="http://schemas.microsoft.com/office/spreadsheetml/2009/9/main" objectType="CheckBox" fmlaLink="$D$4" lockText="1" noThreeD="1"/>
</file>

<file path=xl/ctrlProps/ctrlProp45.xml><?xml version="1.0" encoding="utf-8"?>
<formControlPr xmlns="http://schemas.microsoft.com/office/spreadsheetml/2009/9/main" objectType="CheckBox" fmlaLink="$D$4" lockText="1" noThreeD="1"/>
</file>

<file path=xl/ctrlProps/ctrlProp46.xml><?xml version="1.0" encoding="utf-8"?>
<formControlPr xmlns="http://schemas.microsoft.com/office/spreadsheetml/2009/9/main" objectType="CheckBox" fmlaLink="$D$4" lockText="1" noThreeD="1"/>
</file>

<file path=xl/ctrlProps/ctrlProp47.xml><?xml version="1.0" encoding="utf-8"?>
<formControlPr xmlns="http://schemas.microsoft.com/office/spreadsheetml/2009/9/main" objectType="CheckBox" fmlaLink="$D$4" lockText="1" noThreeD="1"/>
</file>

<file path=xl/ctrlProps/ctrlProp48.xml><?xml version="1.0" encoding="utf-8"?>
<formControlPr xmlns="http://schemas.microsoft.com/office/spreadsheetml/2009/9/main" objectType="CheckBox" fmlaLink="$D$4" lockText="1" noThreeD="1"/>
</file>

<file path=xl/ctrlProps/ctrlProp49.xml><?xml version="1.0" encoding="utf-8"?>
<formControlPr xmlns="http://schemas.microsoft.com/office/spreadsheetml/2009/9/main" objectType="CheckBox" fmlaLink="$D$4" lockText="1" noThreeD="1"/>
</file>

<file path=xl/ctrlProps/ctrlProp50.xml><?xml version="1.0" encoding="utf-8"?>
<formControlPr xmlns="http://schemas.microsoft.com/office/spreadsheetml/2009/9/main" objectType="CheckBox" fmlaLink="$D$4" lockText="1" noThreeD="1"/>
</file>

<file path=xl/ctrlProps/ctrlProp51.xml><?xml version="1.0" encoding="utf-8"?>
<formControlPr xmlns="http://schemas.microsoft.com/office/spreadsheetml/2009/9/main" objectType="CheckBox" fmlaLink="$D$4" lockText="1" noThreeD="1"/>
</file>

<file path=xl/ctrlProps/ctrlProp52.xml><?xml version="1.0" encoding="utf-8"?>
<formControlPr xmlns="http://schemas.microsoft.com/office/spreadsheetml/2009/9/main" objectType="CheckBox" fmlaLink="$D$4" lockText="1" noThreeD="1"/>
</file>

<file path=xl/ctrlProps/ctrlProp53.xml><?xml version="1.0" encoding="utf-8"?>
<formControlPr xmlns="http://schemas.microsoft.com/office/spreadsheetml/2009/9/main" objectType="CheckBox" fmlaLink="$D$5" lockText="1" noThreeD="1"/>
</file>

<file path=xl/ctrlProps/ctrlProp54.xml><?xml version="1.0" encoding="utf-8"?>
<formControlPr xmlns="http://schemas.microsoft.com/office/spreadsheetml/2009/9/main" objectType="CheckBox" fmlaLink="$D$6" lockText="1" noThreeD="1"/>
</file>

<file path=xl/ctrlProps/ctrlProp55.xml><?xml version="1.0" encoding="utf-8"?>
<formControlPr xmlns="http://schemas.microsoft.com/office/spreadsheetml/2009/9/main" objectType="CheckBox" fmlaLink="$D$7" lockText="1" noThreeD="1"/>
</file>

<file path=xl/ctrlProps/ctrlProp56.xml><?xml version="1.0" encoding="utf-8"?>
<formControlPr xmlns="http://schemas.microsoft.com/office/spreadsheetml/2009/9/main" objectType="CheckBox" fmlaLink="$D$8" lockText="1" noThreeD="1"/>
</file>

<file path=xl/ctrlProps/ctrlProp57.xml><?xml version="1.0" encoding="utf-8"?>
<formControlPr xmlns="http://schemas.microsoft.com/office/spreadsheetml/2009/9/main" objectType="CheckBox" fmlaLink="$D$9" lockText="1" noThreeD="1"/>
</file>

<file path=xl/ctrlProps/ctrlProp58.xml><?xml version="1.0" encoding="utf-8"?>
<formControlPr xmlns="http://schemas.microsoft.com/office/spreadsheetml/2009/9/main" objectType="CheckBox" fmlaLink="$D$10" lockText="1" noThreeD="1"/>
</file>

<file path=xl/ctrlProps/ctrlProp59.xml><?xml version="1.0" encoding="utf-8"?>
<formControlPr xmlns="http://schemas.microsoft.com/office/spreadsheetml/2009/9/main" objectType="CheckBox" fmlaLink="$D$11" lockText="1" noThreeD="1"/>
</file>

<file path=xl/ctrlProps/ctrlProp60.xml><?xml version="1.0" encoding="utf-8"?>
<formControlPr xmlns="http://schemas.microsoft.com/office/spreadsheetml/2009/9/main" objectType="CheckBox" fmlaLink="$D$12" lockText="1" noThreeD="1"/>
</file>

<file path=xl/ctrlProps/ctrlProp61.xml><?xml version="1.0" encoding="utf-8"?>
<formControlPr xmlns="http://schemas.microsoft.com/office/spreadsheetml/2009/9/main" objectType="CheckBox" fmlaLink="$D$13" lockText="1" noThreeD="1"/>
</file>

<file path=xl/ctrlProps/ctrlProp62.xml><?xml version="1.0" encoding="utf-8"?>
<formControlPr xmlns="http://schemas.microsoft.com/office/spreadsheetml/2009/9/main" objectType="CheckBox" fmlaLink="$D$14" lockText="1" noThreeD="1"/>
</file>

<file path=xl/ctrlProps/ctrlProp63.xml><?xml version="1.0" encoding="utf-8"?>
<formControlPr xmlns="http://schemas.microsoft.com/office/spreadsheetml/2009/9/main" objectType="CheckBox" fmlaLink="$D$15" lockText="1" noThreeD="1"/>
</file>

<file path=xl/ctrlProps/ctrlProp64.xml><?xml version="1.0" encoding="utf-8"?>
<formControlPr xmlns="http://schemas.microsoft.com/office/spreadsheetml/2009/9/main" objectType="CheckBox" fmlaLink="$D$16" lockText="1" noThreeD="1"/>
</file>

<file path=xl/ctrlProps/ctrlProp65.xml><?xml version="1.0" encoding="utf-8"?>
<formControlPr xmlns="http://schemas.microsoft.com/office/spreadsheetml/2009/9/main" objectType="CheckBox" fmlaLink="$D$17" lockText="1" noThreeD="1"/>
</file>

<file path=xl/ctrlProps/ctrlProp66.xml><?xml version="1.0" encoding="utf-8"?>
<formControlPr xmlns="http://schemas.microsoft.com/office/spreadsheetml/2009/9/main" objectType="CheckBox" fmlaLink="$D$18" lockText="1" noThreeD="1"/>
</file>

<file path=xl/ctrlProps/ctrlProp67.xml><?xml version="1.0" encoding="utf-8"?>
<formControlPr xmlns="http://schemas.microsoft.com/office/spreadsheetml/2009/9/main" objectType="CheckBox" fmlaLink="$D$19" lockText="1" noThreeD="1"/>
</file>

<file path=xl/ctrlProps/ctrlProp68.xml><?xml version="1.0" encoding="utf-8"?>
<formControlPr xmlns="http://schemas.microsoft.com/office/spreadsheetml/2009/9/main" objectType="CheckBox" fmlaLink="$D$20" lockText="1" noThreeD="1"/>
</file>

<file path=xl/ctrlProps/ctrlProp69.xml><?xml version="1.0" encoding="utf-8"?>
<formControlPr xmlns="http://schemas.microsoft.com/office/spreadsheetml/2009/9/main" objectType="CheckBox" fmlaLink="$D$21" lockText="1" noThreeD="1"/>
</file>

<file path=xl/ctrlProps/ctrlProp70.xml><?xml version="1.0" encoding="utf-8"?>
<formControlPr xmlns="http://schemas.microsoft.com/office/spreadsheetml/2009/9/main" objectType="CheckBox" fmlaLink="$D$22" lockText="1" noThreeD="1"/>
</file>

<file path=xl/ctrlProps/ctrlProp71.xml><?xml version="1.0" encoding="utf-8"?>
<formControlPr xmlns="http://schemas.microsoft.com/office/spreadsheetml/2009/9/main" objectType="CheckBox" fmlaLink="$D$23" lockText="1" noThreeD="1"/>
</file>

<file path=xl/ctrlProps/ctrlProp72.xml><?xml version="1.0" encoding="utf-8"?>
<formControlPr xmlns="http://schemas.microsoft.com/office/spreadsheetml/2009/9/main" objectType="CheckBox" fmlaLink="$D$24" lockText="1" noThreeD="1"/>
</file>

<file path=xl/ctrlProps/ctrlProp73.xml><?xml version="1.0" encoding="utf-8"?>
<formControlPr xmlns="http://schemas.microsoft.com/office/spreadsheetml/2009/9/main" objectType="CheckBox" fmlaLink="$D$25" lockText="1" noThreeD="1"/>
</file>

<file path=xl/ctrlProps/ctrlProp74.xml><?xml version="1.0" encoding="utf-8"?>
<formControlPr xmlns="http://schemas.microsoft.com/office/spreadsheetml/2009/9/main" objectType="CheckBox" fmlaLink="$D$26" lockText="1" noThreeD="1"/>
</file>

<file path=xl/ctrlProps/ctrlProp75.xml><?xml version="1.0" encoding="utf-8"?>
<formControlPr xmlns="http://schemas.microsoft.com/office/spreadsheetml/2009/9/main" objectType="CheckBox" fmlaLink="$D$27" lockText="1" noThreeD="1"/>
</file>

<file path=xl/ctrlProps/ctrlProp76.xml><?xml version="1.0" encoding="utf-8"?>
<formControlPr xmlns="http://schemas.microsoft.com/office/spreadsheetml/2009/9/main" objectType="CheckBox" fmlaLink="$D$28" lockText="1" noThreeD="1"/>
</file>

<file path=xl/ctrlProps/ctrlProp77.xml><?xml version="1.0" encoding="utf-8"?>
<formControlPr xmlns="http://schemas.microsoft.com/office/spreadsheetml/2009/9/main" objectType="CheckBox" fmlaLink="$D$29" lockText="1" noThreeD="1"/>
</file>

<file path=xl/ctrlProps/ctrlProp78.xml><?xml version="1.0" encoding="utf-8"?>
<formControlPr xmlns="http://schemas.microsoft.com/office/spreadsheetml/2009/9/main" objectType="CheckBox" fmlaLink="$D$30" lockText="1" noThreeD="1"/>
</file>

<file path=xl/ctrlProps/ctrlProp79.xml><?xml version="1.0" encoding="utf-8"?>
<formControlPr xmlns="http://schemas.microsoft.com/office/spreadsheetml/2009/9/main" objectType="CheckBox" fmlaLink="$D$31" lockText="1" noThreeD="1"/>
</file>

<file path=xl/ctrlProps/ctrlProp80.xml><?xml version="1.0" encoding="utf-8"?>
<formControlPr xmlns="http://schemas.microsoft.com/office/spreadsheetml/2009/9/main" objectType="CheckBox" fmlaLink="$D$32" lockText="1" noThreeD="1"/>
</file>

<file path=xl/ctrlProps/ctrlProp81.xml><?xml version="1.0" encoding="utf-8"?>
<formControlPr xmlns="http://schemas.microsoft.com/office/spreadsheetml/2009/9/main" objectType="CheckBox" fmlaLink="$D$33" lockText="1" noThreeD="1"/>
</file>

<file path=xl/ctrlProps/ctrlProp82.xml><?xml version="1.0" encoding="utf-8"?>
<formControlPr xmlns="http://schemas.microsoft.com/office/spreadsheetml/2009/9/main" objectType="CheckBox" fmlaLink="$D$34" lockText="1" noThreeD="1"/>
</file>

<file path=xl/ctrlProps/ctrlProp83.xml><?xml version="1.0" encoding="utf-8"?>
<formControlPr xmlns="http://schemas.microsoft.com/office/spreadsheetml/2009/9/main" objectType="CheckBox" fmlaLink="$D$35" lockText="1" noThreeD="1"/>
</file>

<file path=xl/ctrlProps/ctrlProp84.xml><?xml version="1.0" encoding="utf-8"?>
<formControlPr xmlns="http://schemas.microsoft.com/office/spreadsheetml/2009/9/main" objectType="CheckBox" fmlaLink="$D$36" lockText="1" noThreeD="1"/>
</file>

<file path=xl/ctrlProps/ctrlProp85.xml><?xml version="1.0" encoding="utf-8"?>
<formControlPr xmlns="http://schemas.microsoft.com/office/spreadsheetml/2009/9/main" objectType="CheckBox" fmlaLink="$D$37" lockText="1" noThreeD="1"/>
</file>

<file path=xl/ctrlProps/ctrlProp86.xml><?xml version="1.0" encoding="utf-8"?>
<formControlPr xmlns="http://schemas.microsoft.com/office/spreadsheetml/2009/9/main" objectType="CheckBox" fmlaLink="$D$38" lockText="1" noThreeD="1"/>
</file>

<file path=xl/ctrlProps/ctrlProp87.xml><?xml version="1.0" encoding="utf-8"?>
<formControlPr xmlns="http://schemas.microsoft.com/office/spreadsheetml/2009/9/main" objectType="CheckBox" fmlaLink="$D$39" lockText="1" noThreeD="1"/>
</file>

<file path=xl/ctrlProps/ctrlProp88.xml><?xml version="1.0" encoding="utf-8"?>
<formControlPr xmlns="http://schemas.microsoft.com/office/spreadsheetml/2009/9/main" objectType="CheckBox" fmlaLink="$D$40" lockText="1" noThreeD="1"/>
</file>

<file path=xl/ctrlProps/ctrlProp89.xml><?xml version="1.0" encoding="utf-8"?>
<formControlPr xmlns="http://schemas.microsoft.com/office/spreadsheetml/2009/9/main" objectType="CheckBox" fmlaLink="$D$41" lockText="1" noThreeD="1"/>
</file>

<file path=xl/ctrlProps/ctrlProp90.xml><?xml version="1.0" encoding="utf-8"?>
<formControlPr xmlns="http://schemas.microsoft.com/office/spreadsheetml/2009/9/main" objectType="CheckBox" fmlaLink="$D$42" lockText="1" noThreeD="1"/>
</file>

<file path=xl/ctrlProps/ctrlProp91.xml><?xml version="1.0" encoding="utf-8"?>
<formControlPr xmlns="http://schemas.microsoft.com/office/spreadsheetml/2009/9/main" objectType="CheckBox" fmlaLink="$D$43" lockText="1" noThreeD="1"/>
</file>

<file path=xl/ctrlProps/ctrlProp92.xml><?xml version="1.0" encoding="utf-8"?>
<formControlPr xmlns="http://schemas.microsoft.com/office/spreadsheetml/2009/9/main" objectType="CheckBox" fmlaLink="$D$44" lockText="1" noThreeD="1"/>
</file>

<file path=xl/ctrlProps/ctrlProp93.xml><?xml version="1.0" encoding="utf-8"?>
<formControlPr xmlns="http://schemas.microsoft.com/office/spreadsheetml/2009/9/main" objectType="CheckBox" fmlaLink="$D$45" lockText="1" noThreeD="1"/>
</file>

<file path=xl/ctrlProps/ctrlProp94.xml><?xml version="1.0" encoding="utf-8"?>
<formControlPr xmlns="http://schemas.microsoft.com/office/spreadsheetml/2009/9/main" objectType="CheckBox" fmlaLink="$D$46" lockText="1" noThreeD="1"/>
</file>

<file path=xl/ctrlProps/ctrlProp95.xml><?xml version="1.0" encoding="utf-8"?>
<formControlPr xmlns="http://schemas.microsoft.com/office/spreadsheetml/2009/9/main" objectType="CheckBox" fmlaLink="$D$47" lockText="1" noThreeD="1"/>
</file>

<file path=xl/ctrlProps/ctrlProp96.xml><?xml version="1.0" encoding="utf-8"?>
<formControlPr xmlns="http://schemas.microsoft.com/office/spreadsheetml/2009/9/main" objectType="CheckBox" fmlaLink="$D$48" lockText="1" noThreeD="1"/>
</file>

<file path=xl/ctrlProps/ctrlProp97.xml><?xml version="1.0" encoding="utf-8"?>
<formControlPr xmlns="http://schemas.microsoft.com/office/spreadsheetml/2009/9/main" objectType="CheckBox" fmlaLink="$D$49" lockText="1" noThreeD="1"/>
</file>

<file path=xl/ctrlProps/ctrlProp98.xml><?xml version="1.0" encoding="utf-8"?>
<formControlPr xmlns="http://schemas.microsoft.com/office/spreadsheetml/2009/9/main" objectType="CheckBox" fmlaLink="$D$50" lockText="1" noThreeD="1"/>
</file>

<file path=xl/ctrlProps/ctrlProp99.xml><?xml version="1.0" encoding="utf-8"?>
<formControlPr xmlns="http://schemas.microsoft.com/office/spreadsheetml/2009/9/main" objectType="CheckBox" fmlaLink="$D$51" lockText="1" noThreeD="1"/>
</file>

<file path=xl/ctrlProps/ctrlProp100.xml><?xml version="1.0" encoding="utf-8"?>
<formControlPr xmlns="http://schemas.microsoft.com/office/spreadsheetml/2009/9/main" objectType="CheckBox" fmlaLink="$D$52" lockText="1" noThreeD="1"/>
</file>

<file path=xl/ctrlProps/ctrlProp101.xml><?xml version="1.0" encoding="utf-8"?>
<formControlPr xmlns="http://schemas.microsoft.com/office/spreadsheetml/2009/9/main" objectType="CheckBox" fmlaLink="$D$53" lockText="1" noThreeD="1"/>
</file>

<file path=xl/ctrlProps/ctrlProp102.xml><?xml version="1.0" encoding="utf-8"?>
<formControlPr xmlns="http://schemas.microsoft.com/office/spreadsheetml/2009/9/main" objectType="CheckBox" fmlaLink="$D$54" lockText="1" noThreeD="1"/>
</file>

<file path=xl/ctrlProps/ctrlProp103.xml><?xml version="1.0" encoding="utf-8"?>
<formControlPr xmlns="http://schemas.microsoft.com/office/spreadsheetml/2009/9/main" objectType="CheckBox" fmlaLink="$D$3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fmlaLink="$D$4" lockText="1" noThreeD="1"/>
</file>

<file path=xl/ctrlProps/ctrlProp166.xml><?xml version="1.0" encoding="utf-8"?>
<formControlPr xmlns="http://schemas.microsoft.com/office/spreadsheetml/2009/9/main" objectType="CheckBox" fmlaLink="$D$5" lockText="1" noThreeD="1"/>
</file>

<file path=xl/ctrlProps/ctrlProp167.xml><?xml version="1.0" encoding="utf-8"?>
<formControlPr xmlns="http://schemas.microsoft.com/office/spreadsheetml/2009/9/main" objectType="CheckBox" fmlaLink="$D$6" lockText="1" noThreeD="1"/>
</file>

<file path=xl/ctrlProps/ctrlProp168.xml><?xml version="1.0" encoding="utf-8"?>
<formControlPr xmlns="http://schemas.microsoft.com/office/spreadsheetml/2009/9/main" objectType="CheckBox" fmlaLink="$D$7" lockText="1" noThreeD="1"/>
</file>

<file path=xl/ctrlProps/ctrlProp169.xml><?xml version="1.0" encoding="utf-8"?>
<formControlPr xmlns="http://schemas.microsoft.com/office/spreadsheetml/2009/9/main" objectType="CheckBox" fmlaLink="$D$8" lockText="1" noThreeD="1"/>
</file>

<file path=xl/ctrlProps/ctrlProp170.xml><?xml version="1.0" encoding="utf-8"?>
<formControlPr xmlns="http://schemas.microsoft.com/office/spreadsheetml/2009/9/main" objectType="CheckBox" fmlaLink="$D$9" lockText="1" noThreeD="1"/>
</file>

<file path=xl/ctrlProps/ctrlProp171.xml><?xml version="1.0" encoding="utf-8"?>
<formControlPr xmlns="http://schemas.microsoft.com/office/spreadsheetml/2009/9/main" objectType="CheckBox" fmlaLink="$D$10" lockText="1" noThreeD="1"/>
</file>

<file path=xl/ctrlProps/ctrlProp172.xml><?xml version="1.0" encoding="utf-8"?>
<formControlPr xmlns="http://schemas.microsoft.com/office/spreadsheetml/2009/9/main" objectType="CheckBox" fmlaLink="$D$11" lockText="1" noThreeD="1"/>
</file>

<file path=xl/ctrlProps/ctrlProp173.xml><?xml version="1.0" encoding="utf-8"?>
<formControlPr xmlns="http://schemas.microsoft.com/office/spreadsheetml/2009/9/main" objectType="CheckBox" fmlaLink="$D$12" lockText="1" noThreeD="1"/>
</file>

<file path=xl/ctrlProps/ctrlProp174.xml><?xml version="1.0" encoding="utf-8"?>
<formControlPr xmlns="http://schemas.microsoft.com/office/spreadsheetml/2009/9/main" objectType="CheckBox" fmlaLink="$D$13" lockText="1" noThreeD="1"/>
</file>

<file path=xl/ctrlProps/ctrlProp175.xml><?xml version="1.0" encoding="utf-8"?>
<formControlPr xmlns="http://schemas.microsoft.com/office/spreadsheetml/2009/9/main" objectType="CheckBox" fmlaLink="$D$14" lockText="1" noThreeD="1"/>
</file>

<file path=xl/ctrlProps/ctrlProp176.xml><?xml version="1.0" encoding="utf-8"?>
<formControlPr xmlns="http://schemas.microsoft.com/office/spreadsheetml/2009/9/main" objectType="CheckBox" fmlaLink="$D$15" lockText="1" noThreeD="1"/>
</file>

<file path=xl/ctrlProps/ctrlProp177.xml><?xml version="1.0" encoding="utf-8"?>
<formControlPr xmlns="http://schemas.microsoft.com/office/spreadsheetml/2009/9/main" objectType="CheckBox" fmlaLink="$D$16" lockText="1" noThreeD="1"/>
</file>

<file path=xl/ctrlProps/ctrlProp178.xml><?xml version="1.0" encoding="utf-8"?>
<formControlPr xmlns="http://schemas.microsoft.com/office/spreadsheetml/2009/9/main" objectType="CheckBox" fmlaLink="$D$17" lockText="1" noThreeD="1"/>
</file>

<file path=xl/ctrlProps/ctrlProp179.xml><?xml version="1.0" encoding="utf-8"?>
<formControlPr xmlns="http://schemas.microsoft.com/office/spreadsheetml/2009/9/main" objectType="CheckBox" fmlaLink="$D$18" lockText="1" noThreeD="1"/>
</file>

<file path=xl/ctrlProps/ctrlProp180.xml><?xml version="1.0" encoding="utf-8"?>
<formControlPr xmlns="http://schemas.microsoft.com/office/spreadsheetml/2009/9/main" objectType="CheckBox" fmlaLink="$D$19" lockText="1" noThreeD="1"/>
</file>

<file path=xl/ctrlProps/ctrlProp181.xml><?xml version="1.0" encoding="utf-8"?>
<formControlPr xmlns="http://schemas.microsoft.com/office/spreadsheetml/2009/9/main" objectType="CheckBox" fmlaLink="$D$20" lockText="1" noThreeD="1"/>
</file>

<file path=xl/ctrlProps/ctrlProp182.xml><?xml version="1.0" encoding="utf-8"?>
<formControlPr xmlns="http://schemas.microsoft.com/office/spreadsheetml/2009/9/main" objectType="CheckBox" fmlaLink="$D$21" lockText="1" noThreeD="1"/>
</file>

<file path=xl/ctrlProps/ctrlProp183.xml><?xml version="1.0" encoding="utf-8"?>
<formControlPr xmlns="http://schemas.microsoft.com/office/spreadsheetml/2009/9/main" objectType="CheckBox" fmlaLink="$D$22" lockText="1" noThreeD="1"/>
</file>

<file path=xl/ctrlProps/ctrlProp184.xml><?xml version="1.0" encoding="utf-8"?>
<formControlPr xmlns="http://schemas.microsoft.com/office/spreadsheetml/2009/9/main" objectType="CheckBox" fmlaLink="$D$23" lockText="1" noThreeD="1"/>
</file>

<file path=xl/ctrlProps/ctrlProp185.xml><?xml version="1.0" encoding="utf-8"?>
<formControlPr xmlns="http://schemas.microsoft.com/office/spreadsheetml/2009/9/main" objectType="CheckBox" fmlaLink="$D$24" lockText="1" noThreeD="1"/>
</file>

<file path=xl/ctrlProps/ctrlProp186.xml><?xml version="1.0" encoding="utf-8"?>
<formControlPr xmlns="http://schemas.microsoft.com/office/spreadsheetml/2009/9/main" objectType="CheckBox" fmlaLink="$D$25" lockText="1" noThreeD="1"/>
</file>

<file path=xl/ctrlProps/ctrlProp187.xml><?xml version="1.0" encoding="utf-8"?>
<formControlPr xmlns="http://schemas.microsoft.com/office/spreadsheetml/2009/9/main" objectType="CheckBox" fmlaLink="$D$26" lockText="1" noThreeD="1"/>
</file>

<file path=xl/ctrlProps/ctrlProp188.xml><?xml version="1.0" encoding="utf-8"?>
<formControlPr xmlns="http://schemas.microsoft.com/office/spreadsheetml/2009/9/main" objectType="CheckBox" fmlaLink="$D$27" lockText="1" noThreeD="1"/>
</file>

<file path=xl/ctrlProps/ctrlProp189.xml><?xml version="1.0" encoding="utf-8"?>
<formControlPr xmlns="http://schemas.microsoft.com/office/spreadsheetml/2009/9/main" objectType="CheckBox" fmlaLink="$D$28" lockText="1" noThreeD="1"/>
</file>

<file path=xl/ctrlProps/ctrlProp190.xml><?xml version="1.0" encoding="utf-8"?>
<formControlPr xmlns="http://schemas.microsoft.com/office/spreadsheetml/2009/9/main" objectType="CheckBox" fmlaLink="$D$29" lockText="1" noThreeD="1"/>
</file>

<file path=xl/ctrlProps/ctrlProp191.xml><?xml version="1.0" encoding="utf-8"?>
<formControlPr xmlns="http://schemas.microsoft.com/office/spreadsheetml/2009/9/main" objectType="CheckBox" fmlaLink="$D$30" lockText="1" noThreeD="1"/>
</file>

<file path=xl/ctrlProps/ctrlProp192.xml><?xml version="1.0" encoding="utf-8"?>
<formControlPr xmlns="http://schemas.microsoft.com/office/spreadsheetml/2009/9/main" objectType="CheckBox" fmlaLink="$D$31" lockText="1" noThreeD="1"/>
</file>

<file path=xl/ctrlProps/ctrlProp193.xml><?xml version="1.0" encoding="utf-8"?>
<formControlPr xmlns="http://schemas.microsoft.com/office/spreadsheetml/2009/9/main" objectType="CheckBox" fmlaLink="$D$32" lockText="1" noThreeD="1"/>
</file>

<file path=xl/ctrlProps/ctrlProp194.xml><?xml version="1.0" encoding="utf-8"?>
<formControlPr xmlns="http://schemas.microsoft.com/office/spreadsheetml/2009/9/main" objectType="CheckBox" fmlaLink="$D$33" lockText="1" noThreeD="1"/>
</file>

<file path=xl/ctrlProps/ctrlProp195.xml><?xml version="1.0" encoding="utf-8"?>
<formControlPr xmlns="http://schemas.microsoft.com/office/spreadsheetml/2009/9/main" objectType="CheckBox" fmlaLink="$D$34" lockText="1" noThreeD="1"/>
</file>

<file path=xl/ctrlProps/ctrlProp196.xml><?xml version="1.0" encoding="utf-8"?>
<formControlPr xmlns="http://schemas.microsoft.com/office/spreadsheetml/2009/9/main" objectType="CheckBox" fmlaLink="$D$35" lockText="1" noThreeD="1"/>
</file>

<file path=xl/ctrlProps/ctrlProp197.xml><?xml version="1.0" encoding="utf-8"?>
<formControlPr xmlns="http://schemas.microsoft.com/office/spreadsheetml/2009/9/main" objectType="CheckBox" fmlaLink="$D$36" lockText="1" noThreeD="1"/>
</file>

<file path=xl/ctrlProps/ctrlProp198.xml><?xml version="1.0" encoding="utf-8"?>
<formControlPr xmlns="http://schemas.microsoft.com/office/spreadsheetml/2009/9/main" objectType="CheckBox" fmlaLink="$D$37" lockText="1" noThreeD="1"/>
</file>

<file path=xl/ctrlProps/ctrlProp199.xml><?xml version="1.0" encoding="utf-8"?>
<formControlPr xmlns="http://schemas.microsoft.com/office/spreadsheetml/2009/9/main" objectType="CheckBox" fmlaLink="$D$38" lockText="1" noThreeD="1"/>
</file>

<file path=xl/ctrlProps/ctrlProp200.xml><?xml version="1.0" encoding="utf-8"?>
<formControlPr xmlns="http://schemas.microsoft.com/office/spreadsheetml/2009/9/main" objectType="CheckBox" fmlaLink="$D$39" lockText="1" noThreeD="1"/>
</file>

<file path=xl/ctrlProps/ctrlProp201.xml><?xml version="1.0" encoding="utf-8"?>
<formControlPr xmlns="http://schemas.microsoft.com/office/spreadsheetml/2009/9/main" objectType="CheckBox" fmlaLink="$D$40" lockText="1" noThreeD="1"/>
</file>

<file path=xl/ctrlProps/ctrlProp202.xml><?xml version="1.0" encoding="utf-8"?>
<formControlPr xmlns="http://schemas.microsoft.com/office/spreadsheetml/2009/9/main" objectType="CheckBox" fmlaLink="$D$41" lockText="1" noThreeD="1"/>
</file>

<file path=xl/ctrlProps/ctrlProp203.xml><?xml version="1.0" encoding="utf-8"?>
<formControlPr xmlns="http://schemas.microsoft.com/office/spreadsheetml/2009/9/main" objectType="CheckBox" fmlaLink="$D$42" lockText="1" noThreeD="1"/>
</file>

<file path=xl/ctrlProps/ctrlProp204.xml><?xml version="1.0" encoding="utf-8"?>
<formControlPr xmlns="http://schemas.microsoft.com/office/spreadsheetml/2009/9/main" objectType="CheckBox" fmlaLink="$D$43" lockText="1" noThreeD="1"/>
</file>

<file path=xl/ctrlProps/ctrlProp205.xml><?xml version="1.0" encoding="utf-8"?>
<formControlPr xmlns="http://schemas.microsoft.com/office/spreadsheetml/2009/9/main" objectType="CheckBox" fmlaLink="$D$44" lockText="1" noThreeD="1"/>
</file>

<file path=xl/ctrlProps/ctrlProp206.xml><?xml version="1.0" encoding="utf-8"?>
<formControlPr xmlns="http://schemas.microsoft.com/office/spreadsheetml/2009/9/main" objectType="CheckBox" fmlaLink="$D$45" lockText="1" noThreeD="1"/>
</file>

<file path=xl/ctrlProps/ctrlProp207.xml><?xml version="1.0" encoding="utf-8"?>
<formControlPr xmlns="http://schemas.microsoft.com/office/spreadsheetml/2009/9/main" objectType="CheckBox" fmlaLink="$D$46" lockText="1" noThreeD="1"/>
</file>

<file path=xl/ctrlProps/ctrlProp208.xml><?xml version="1.0" encoding="utf-8"?>
<formControlPr xmlns="http://schemas.microsoft.com/office/spreadsheetml/2009/9/main" objectType="CheckBox" fmlaLink="$D$47" lockText="1" noThreeD="1"/>
</file>

<file path=xl/ctrlProps/ctrlProp209.xml><?xml version="1.0" encoding="utf-8"?>
<formControlPr xmlns="http://schemas.microsoft.com/office/spreadsheetml/2009/9/main" objectType="CheckBox" fmlaLink="$D$48" lockText="1" noThreeD="1"/>
</file>

<file path=xl/ctrlProps/ctrlProp210.xml><?xml version="1.0" encoding="utf-8"?>
<formControlPr xmlns="http://schemas.microsoft.com/office/spreadsheetml/2009/9/main" objectType="CheckBox" fmlaLink="$D$49" lockText="1" noThreeD="1"/>
</file>

<file path=xl/ctrlProps/ctrlProp211.xml><?xml version="1.0" encoding="utf-8"?>
<formControlPr xmlns="http://schemas.microsoft.com/office/spreadsheetml/2009/9/main" objectType="CheckBox" fmlaLink="$D$50" lockText="1" noThreeD="1"/>
</file>

<file path=xl/ctrlProps/ctrlProp212.xml><?xml version="1.0" encoding="utf-8"?>
<formControlPr xmlns="http://schemas.microsoft.com/office/spreadsheetml/2009/9/main" objectType="CheckBox" fmlaLink="$D$51" lockText="1" noThreeD="1"/>
</file>

<file path=xl/ctrlProps/ctrlProp213.xml><?xml version="1.0" encoding="utf-8"?>
<formControlPr xmlns="http://schemas.microsoft.com/office/spreadsheetml/2009/9/main" objectType="CheckBox" fmlaLink="$D$52" lockText="1" noThreeD="1"/>
</file>

<file path=xl/ctrlProps/ctrlProp214.xml><?xml version="1.0" encoding="utf-8"?>
<formControlPr xmlns="http://schemas.microsoft.com/office/spreadsheetml/2009/9/main" objectType="CheckBox" fmlaLink="$D$53" lockText="1" noThreeD="1"/>
</file>

<file path=xl/ctrlProps/ctrlProp215.xml><?xml version="1.0" encoding="utf-8"?>
<formControlPr xmlns="http://schemas.microsoft.com/office/spreadsheetml/2009/9/main" objectType="CheckBox" fmlaLink="$D$54" lockText="1" noThreeD="1"/>
</file>

<file path=xl/ctrlProps/ctrlProp216.xml><?xml version="1.0" encoding="utf-8"?>
<formControlPr xmlns="http://schemas.microsoft.com/office/spreadsheetml/2009/9/main" objectType="CheckBox" fmlaLink="$D$55" lockText="1" noThreeD="1"/>
</file>

<file path=xl/ctrlProps/ctrlProp217.xml><?xml version="1.0" encoding="utf-8"?>
<formControlPr xmlns="http://schemas.microsoft.com/office/spreadsheetml/2009/9/main" objectType="CheckBox" fmlaLink="$D$56" lockText="1" noThreeD="1"/>
</file>

<file path=xl/ctrlProps/ctrlProp218.xml><?xml version="1.0" encoding="utf-8"?>
<formControlPr xmlns="http://schemas.microsoft.com/office/spreadsheetml/2009/9/main" objectType="CheckBox" fmlaLink="$D$57" lockText="1" noThreeD="1"/>
</file>

<file path=xl/ctrlProps/ctrlProp219.xml><?xml version="1.0" encoding="utf-8"?>
<formControlPr xmlns="http://schemas.microsoft.com/office/spreadsheetml/2009/9/main" objectType="CheckBox" fmlaLink="$D$58" lockText="1" noThreeD="1"/>
</file>

<file path=xl/ctrlProps/ctrlProp220.xml><?xml version="1.0" encoding="utf-8"?>
<formControlPr xmlns="http://schemas.microsoft.com/office/spreadsheetml/2009/9/main" objectType="CheckBox" fmlaLink="$D$59" lockText="1" noThreeD="1"/>
</file>

<file path=xl/ctrlProps/ctrlProp221.xml><?xml version="1.0" encoding="utf-8"?>
<formControlPr xmlns="http://schemas.microsoft.com/office/spreadsheetml/2009/9/main" objectType="CheckBox" fmlaLink="$D$60" lockText="1" noThreeD="1"/>
</file>

<file path=xl/ctrlProps/ctrlProp222.xml><?xml version="1.0" encoding="utf-8"?>
<formControlPr xmlns="http://schemas.microsoft.com/office/spreadsheetml/2009/9/main" objectType="CheckBox" fmlaLink="$D$61" lockText="1" noThreeD="1"/>
</file>

<file path=xl/ctrlProps/ctrlProp223.xml><?xml version="1.0" encoding="utf-8"?>
<formControlPr xmlns="http://schemas.microsoft.com/office/spreadsheetml/2009/9/main" objectType="CheckBox" fmlaLink="$D$62" lockText="1" noThreeD="1"/>
</file>

<file path=xl/ctrlProps/ctrlProp224.xml><?xml version="1.0" encoding="utf-8"?>
<formControlPr xmlns="http://schemas.microsoft.com/office/spreadsheetml/2009/9/main" objectType="CheckBox" fmlaLink="$D$63" lockText="1" noThreeD="1"/>
</file>

<file path=xl/ctrlProps/ctrlProp225.xml><?xml version="1.0" encoding="utf-8"?>
<formControlPr xmlns="http://schemas.microsoft.com/office/spreadsheetml/2009/9/main" objectType="CheckBox" fmlaLink="$D$64" lockText="1" noThreeD="1"/>
</file>

<file path=xl/ctrlProps/ctrlProp226.xml><?xml version="1.0" encoding="utf-8"?>
<formControlPr xmlns="http://schemas.microsoft.com/office/spreadsheetml/2009/9/main" objectType="CheckBox" fmlaLink="$D$65" lockText="1" noThreeD="1"/>
</file>

<file path=xl/ctrlProps/ctrlProp227.xml><?xml version="1.0" encoding="utf-8"?>
<formControlPr xmlns="http://schemas.microsoft.com/office/spreadsheetml/2009/9/main" objectType="CheckBox" fmlaLink="$D$3" lockText="1" noThreeD="1"/>
</file>

<file path=xl/ctrlProps/ctrlProp228.xml><?xml version="1.0" encoding="utf-8"?>
<formControlPr xmlns="http://schemas.microsoft.com/office/spreadsheetml/2009/9/main" objectType="CheckBox" fmlaLink="$D$4" lockText="1" noThreeD="1"/>
</file>

<file path=xl/ctrlProps/ctrlProp229.xml><?xml version="1.0" encoding="utf-8"?>
<formControlPr xmlns="http://schemas.microsoft.com/office/spreadsheetml/2009/9/main" objectType="CheckBox" fmlaLink="$D$5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fmlaLink="$D$6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fmlaLink="$D$7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fmlaLink="$D$8" lockText="1" noThreeD="1"/>
</file>

<file path=xl/ctrlProps/ctrlProp236.xml><?xml version="1.0" encoding="utf-8"?>
<formControlPr xmlns="http://schemas.microsoft.com/office/spreadsheetml/2009/9/main" objectType="CheckBox" lockText="1" noThreeD="1"/>
</file>

<file path=xl/ctrlProps/ctrlProp237.xml><?xml version="1.0" encoding="utf-8"?>
<formControlPr xmlns="http://schemas.microsoft.com/office/spreadsheetml/2009/9/main" objectType="CheckBox" fmlaLink="$D$9:$D$9" lockText="1" noThreeD="1"/>
</file>

<file path=xl/ctrlProps/ctrlProp238.xml><?xml version="1.0" encoding="utf-8"?>
<formControlPr xmlns="http://schemas.microsoft.com/office/spreadsheetml/2009/9/main" objectType="CheckBox" lockText="1" noThreeD="1"/>
</file>

<file path=xl/ctrlProps/ctrlProp239.xml><?xml version="1.0" encoding="utf-8"?>
<formControlPr xmlns="http://schemas.microsoft.com/office/spreadsheetml/2009/9/main" objectType="CheckBox" fmlaLink="$D$10" lockText="1" noThreeD="1"/>
</file>

<file path=xl/ctrlProps/ctrlProp240.xml><?xml version="1.0" encoding="utf-8"?>
<formControlPr xmlns="http://schemas.microsoft.com/office/spreadsheetml/2009/9/main" objectType="CheckBox" lockText="1" noThreeD="1"/>
</file>

<file path=xl/ctrlProps/ctrlProp241.xml><?xml version="1.0" encoding="utf-8"?>
<formControlPr xmlns="http://schemas.microsoft.com/office/spreadsheetml/2009/9/main" objectType="CheckBox" fmlaLink="$D$11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fmlaLink="$D$12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fmlaLink="$D$13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fmlaLink="$D$14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fmlaLink="$D$15" lockText="1" noThreeD="1"/>
</file>

<file path=xl/ctrlProps/ctrlProp250.xml><?xml version="1.0" encoding="utf-8"?>
<formControlPr xmlns="http://schemas.microsoft.com/office/spreadsheetml/2009/9/main" objectType="CheckBox" lockText="1" noThreeD="1"/>
</file>

<file path=xl/ctrlProps/ctrlProp251.xml><?xml version="1.0" encoding="utf-8"?>
<formControlPr xmlns="http://schemas.microsoft.com/office/spreadsheetml/2009/9/main" objectType="CheckBox" fmlaLink="$D$16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fmlaLink="$D$17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fmlaLink="$D$18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fmlaLink="$D$19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fmlaLink="$D$20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fmlaLink="$D$21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302860</xdr:colOff>
      <xdr:row>1</xdr:row>
      <xdr:rowOff>99580</xdr:rowOff>
    </xdr:from>
    <xdr:to>
      <xdr:col>23</xdr:col>
      <xdr:colOff>101021</xdr:colOff>
      <xdr:row>3</xdr:row>
      <xdr:rowOff>130046</xdr:rowOff>
    </xdr:to>
    <xdr:sp macro="" textlink="">
      <xdr:nvSpPr>
        <xdr:cNvPr id="7" name="Arrow: Left 6">
          <a:extLst>
            <a:ext uri="{FF2B5EF4-FFF2-40B4-BE49-F238E27FC236}">
              <a16:creationId xmlns:a16="http://schemas.microsoft.com/office/drawing/2014/main" id="{B9E4654A-3E2F-4019-73CA-25F15D4EB322}"/>
            </a:ext>
          </a:extLst>
        </xdr:cNvPr>
        <xdr:cNvSpPr/>
      </xdr:nvSpPr>
      <xdr:spPr>
        <a:xfrm>
          <a:off x="17690315" y="480580"/>
          <a:ext cx="1021979" cy="44610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292759</xdr:colOff>
      <xdr:row>0</xdr:row>
      <xdr:rowOff>54841</xdr:rowOff>
    </xdr:from>
    <xdr:to>
      <xdr:col>14</xdr:col>
      <xdr:colOff>890674</xdr:colOff>
      <xdr:row>14</xdr:row>
      <xdr:rowOff>109270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42263E9-3E4A-4560-0890-F4439FEE2C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523609</xdr:colOff>
      <xdr:row>15</xdr:row>
      <xdr:rowOff>71771</xdr:rowOff>
    </xdr:from>
    <xdr:to>
      <xdr:col>13</xdr:col>
      <xdr:colOff>732786</xdr:colOff>
      <xdr:row>16</xdr:row>
      <xdr:rowOff>188499</xdr:rowOff>
    </xdr:to>
    <xdr:sp macro="" textlink="">
      <xdr:nvSpPr>
        <xdr:cNvPr id="10" name="Arrow: Up 9">
          <a:extLst>
            <a:ext uri="{FF2B5EF4-FFF2-40B4-BE49-F238E27FC236}">
              <a16:creationId xmlns:a16="http://schemas.microsoft.com/office/drawing/2014/main" id="{A5624965-6DF8-524E-9369-CEBBC5AAC3E4}"/>
            </a:ext>
          </a:extLst>
        </xdr:cNvPr>
        <xdr:cNvSpPr/>
      </xdr:nvSpPr>
      <xdr:spPr>
        <a:xfrm>
          <a:off x="10175609" y="3342021"/>
          <a:ext cx="209177" cy="323103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427183</xdr:colOff>
      <xdr:row>5</xdr:row>
      <xdr:rowOff>190291</xdr:rowOff>
    </xdr:from>
    <xdr:to>
      <xdr:col>9</xdr:col>
      <xdr:colOff>554183</xdr:colOff>
      <xdr:row>16</xdr:row>
      <xdr:rowOff>11544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C9A3B32-67F9-F229-1C16-A0A0AEDB4F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14</xdr:row>
      <xdr:rowOff>57727</xdr:rowOff>
    </xdr:from>
    <xdr:to>
      <xdr:col>12</xdr:col>
      <xdr:colOff>666241</xdr:colOff>
      <xdr:row>28</xdr:row>
      <xdr:rowOff>196271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AAD1F76-59C8-B7C0-D1A9-66A446315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794599</xdr:colOff>
      <xdr:row>21</xdr:row>
      <xdr:rowOff>82175</xdr:rowOff>
    </xdr:from>
    <xdr:to>
      <xdr:col>13</xdr:col>
      <xdr:colOff>1003097</xdr:colOff>
      <xdr:row>23</xdr:row>
      <xdr:rowOff>119529</xdr:rowOff>
    </xdr:to>
    <xdr:sp macro="" textlink="">
      <xdr:nvSpPr>
        <xdr:cNvPr id="16" name="Arrow: Left 15">
          <a:extLst>
            <a:ext uri="{FF2B5EF4-FFF2-40B4-BE49-F238E27FC236}">
              <a16:creationId xmlns:a16="http://schemas.microsoft.com/office/drawing/2014/main" id="{6E579CCF-4369-44D5-9B2B-D230089B393F}"/>
            </a:ext>
          </a:extLst>
        </xdr:cNvPr>
        <xdr:cNvSpPr/>
      </xdr:nvSpPr>
      <xdr:spPr>
        <a:xfrm>
          <a:off x="9407508" y="4711902"/>
          <a:ext cx="1316862" cy="452991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92364</xdr:colOff>
      <xdr:row>1</xdr:row>
      <xdr:rowOff>173182</xdr:rowOff>
    </xdr:from>
    <xdr:to>
      <xdr:col>10</xdr:col>
      <xdr:colOff>34636</xdr:colOff>
      <xdr:row>1</xdr:row>
      <xdr:rowOff>196273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8DD29B96-B1CB-0AAB-688A-18F8ADEF266B}"/>
            </a:ext>
          </a:extLst>
        </xdr:cNvPr>
        <xdr:cNvCxnSpPr/>
      </xdr:nvCxnSpPr>
      <xdr:spPr>
        <a:xfrm flipV="1">
          <a:off x="2863273" y="554182"/>
          <a:ext cx="4225636" cy="23091"/>
        </a:xfrm>
        <a:prstGeom prst="line">
          <a:avLst/>
        </a:prstGeom>
        <a:ln w="317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138545</xdr:colOff>
      <xdr:row>0</xdr:row>
      <xdr:rowOff>11546</xdr:rowOff>
    </xdr:from>
    <xdr:to>
      <xdr:col>0</xdr:col>
      <xdr:colOff>1054595</xdr:colOff>
      <xdr:row>3</xdr:row>
      <xdr:rowOff>60037</xdr:rowOff>
    </xdr:to>
    <xdr:pic>
      <xdr:nvPicPr>
        <xdr:cNvPr id="23" name="Graphic 22" descr="Presentation with pie chart">
          <a:extLst>
            <a:ext uri="{FF2B5EF4-FFF2-40B4-BE49-F238E27FC236}">
              <a16:creationId xmlns:a16="http://schemas.microsoft.com/office/drawing/2014/main" id="{B78E57E7-F45A-149F-5F8A-2A88312B4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38545" y="11546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10</xdr:col>
      <xdr:colOff>311728</xdr:colOff>
      <xdr:row>13</xdr:row>
      <xdr:rowOff>115454</xdr:rowOff>
    </xdr:from>
    <xdr:to>
      <xdr:col>12</xdr:col>
      <xdr:colOff>288636</xdr:colOff>
      <xdr:row>20</xdr:row>
      <xdr:rowOff>57727</xdr:rowOff>
    </xdr:to>
    <xdr:pic>
      <xdr:nvPicPr>
        <xdr:cNvPr id="25" name="Graphic 24" descr="Presentation with pie chart">
          <a:extLst>
            <a:ext uri="{FF2B5EF4-FFF2-40B4-BE49-F238E27FC236}">
              <a16:creationId xmlns:a16="http://schemas.microsoft.com/office/drawing/2014/main" id="{3E4D7444-CE5F-FA5B-831D-235423B6A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7366001" y="3059545"/>
          <a:ext cx="1535544" cy="1489364"/>
        </a:xfrm>
        <a:prstGeom prst="rect">
          <a:avLst/>
        </a:prstGeom>
      </xdr:spPr>
    </xdr:pic>
    <xdr:clientData/>
  </xdr:twoCellAnchor>
  <xdr:twoCellAnchor>
    <xdr:from>
      <xdr:col>17</xdr:col>
      <xdr:colOff>11544</xdr:colOff>
      <xdr:row>8</xdr:row>
      <xdr:rowOff>23091</xdr:rowOff>
    </xdr:from>
    <xdr:to>
      <xdr:col>28</xdr:col>
      <xdr:colOff>23090</xdr:colOff>
      <xdr:row>21</xdr:row>
      <xdr:rowOff>15009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AAB2D1-8A1D-D940-0234-D9B4AAA7FA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154215</xdr:colOff>
      <xdr:row>0</xdr:row>
      <xdr:rowOff>52614</xdr:rowOff>
    </xdr:from>
    <xdr:to>
      <xdr:col>18</xdr:col>
      <xdr:colOff>426357</xdr:colOff>
      <xdr:row>28</xdr:row>
      <xdr:rowOff>117929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2FE10F1B-2855-EBB9-B0F9-AD8E3FEB5C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77315" y="52614"/>
              <a:ext cx="8806542" cy="57549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172356</xdr:colOff>
      <xdr:row>15</xdr:row>
      <xdr:rowOff>0</xdr:rowOff>
    </xdr:from>
    <xdr:to>
      <xdr:col>21</xdr:col>
      <xdr:colOff>172356</xdr:colOff>
      <xdr:row>23</xdr:row>
      <xdr:rowOff>132572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8B574A5E-B674-9980-DF56-B190BBE1C58D}"/>
            </a:ext>
          </a:extLst>
        </xdr:cNvPr>
        <xdr:cNvCxnSpPr/>
      </xdr:nvCxnSpPr>
      <xdr:spPr>
        <a:xfrm>
          <a:off x="17525999" y="2721429"/>
          <a:ext cx="0" cy="1584000"/>
        </a:xfrm>
        <a:prstGeom prst="straightConnector1">
          <a:avLst/>
        </a:prstGeom>
        <a:ln>
          <a:headEnd type="triangle"/>
          <a:tailEnd type="triangle"/>
        </a:ln>
        <a:scene3d>
          <a:camera prst="orthographicFront"/>
          <a:lightRig rig="threePt" dir="t"/>
        </a:scene3d>
        <a:sp3d extrusionH="12700">
          <a:bevelT/>
          <a:bevelB w="19050"/>
        </a:sp3d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362857</xdr:colOff>
      <xdr:row>19</xdr:row>
      <xdr:rowOff>154214</xdr:rowOff>
    </xdr:from>
    <xdr:to>
      <xdr:col>22</xdr:col>
      <xdr:colOff>498928</xdr:colOff>
      <xdr:row>19</xdr:row>
      <xdr:rowOff>172357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F34D0A77-8C12-8D76-0D2F-5D39FE5125B5}"/>
            </a:ext>
          </a:extLst>
        </xdr:cNvPr>
        <xdr:cNvCxnSpPr/>
      </xdr:nvCxnSpPr>
      <xdr:spPr>
        <a:xfrm>
          <a:off x="16500928" y="3782785"/>
          <a:ext cx="1959429" cy="18143"/>
        </a:xfrm>
        <a:prstGeom prst="straightConnector1">
          <a:avLst/>
        </a:prstGeom>
        <a:ln>
          <a:headEnd type="triangle"/>
          <a:tailEnd type="triangle"/>
        </a:ln>
        <a:scene3d>
          <a:camera prst="orthographicFront"/>
          <a:lightRig rig="threePt" dir="t"/>
        </a:scene3d>
        <a:sp3d>
          <a:bevelT/>
          <a:bevelB w="19050"/>
        </a:sp3d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</xdr:row>
          <xdr:rowOff>50800</xdr:rowOff>
        </xdr:from>
        <xdr:to>
          <xdr:col>4</xdr:col>
          <xdr:colOff>146050</xdr:colOff>
          <xdr:row>2</xdr:row>
          <xdr:rowOff>139700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5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</xdr:row>
          <xdr:rowOff>50800</xdr:rowOff>
        </xdr:from>
        <xdr:to>
          <xdr:col>4</xdr:col>
          <xdr:colOff>146050</xdr:colOff>
          <xdr:row>3</xdr:row>
          <xdr:rowOff>139700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5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</xdr:row>
          <xdr:rowOff>50800</xdr:rowOff>
        </xdr:from>
        <xdr:to>
          <xdr:col>4</xdr:col>
          <xdr:colOff>146050</xdr:colOff>
          <xdr:row>4</xdr:row>
          <xdr:rowOff>139700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5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</xdr:row>
          <xdr:rowOff>50800</xdr:rowOff>
        </xdr:from>
        <xdr:to>
          <xdr:col>4</xdr:col>
          <xdr:colOff>146050</xdr:colOff>
          <xdr:row>5</xdr:row>
          <xdr:rowOff>139700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5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</xdr:row>
          <xdr:rowOff>50800</xdr:rowOff>
        </xdr:from>
        <xdr:to>
          <xdr:col>4</xdr:col>
          <xdr:colOff>146050</xdr:colOff>
          <xdr:row>6</xdr:row>
          <xdr:rowOff>139700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5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7</xdr:row>
          <xdr:rowOff>50800</xdr:rowOff>
        </xdr:from>
        <xdr:to>
          <xdr:col>4</xdr:col>
          <xdr:colOff>146050</xdr:colOff>
          <xdr:row>7</xdr:row>
          <xdr:rowOff>139700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5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8</xdr:row>
          <xdr:rowOff>50800</xdr:rowOff>
        </xdr:from>
        <xdr:to>
          <xdr:col>4</xdr:col>
          <xdr:colOff>146050</xdr:colOff>
          <xdr:row>8</xdr:row>
          <xdr:rowOff>139700</xdr:rowOff>
        </xdr:to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5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9</xdr:row>
          <xdr:rowOff>50800</xdr:rowOff>
        </xdr:from>
        <xdr:to>
          <xdr:col>4</xdr:col>
          <xdr:colOff>146050</xdr:colOff>
          <xdr:row>9</xdr:row>
          <xdr:rowOff>139700</xdr:rowOff>
        </xdr:to>
        <xdr:sp macro="" textlink="">
          <xdr:nvSpPr>
            <xdr:cNvPr id="3110" name="Check Box 38" hidden="1">
              <a:extLst>
                <a:ext uri="{63B3BB69-23CF-44E3-9099-C40C66FF867C}">
                  <a14:compatExt spid="_x0000_s3110"/>
                </a:ext>
                <a:ext uri="{FF2B5EF4-FFF2-40B4-BE49-F238E27FC236}">
                  <a16:creationId xmlns:a16="http://schemas.microsoft.com/office/drawing/2014/main" id="{00000000-0008-0000-0500-00002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10</xdr:row>
          <xdr:rowOff>50800</xdr:rowOff>
        </xdr:from>
        <xdr:to>
          <xdr:col>4</xdr:col>
          <xdr:colOff>146050</xdr:colOff>
          <xdr:row>10</xdr:row>
          <xdr:rowOff>139700</xdr:rowOff>
        </xdr:to>
        <xdr:sp macro="" textlink="">
          <xdr:nvSpPr>
            <xdr:cNvPr id="3111" name="Check Box 39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00000000-0008-0000-0500-00002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11</xdr:row>
          <xdr:rowOff>50800</xdr:rowOff>
        </xdr:from>
        <xdr:to>
          <xdr:col>4</xdr:col>
          <xdr:colOff>146050</xdr:colOff>
          <xdr:row>11</xdr:row>
          <xdr:rowOff>139700</xdr:rowOff>
        </xdr:to>
        <xdr:sp macro="" textlink="">
          <xdr:nvSpPr>
            <xdr:cNvPr id="3112" name="Check Box 40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5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12</xdr:row>
          <xdr:rowOff>50800</xdr:rowOff>
        </xdr:from>
        <xdr:to>
          <xdr:col>4</xdr:col>
          <xdr:colOff>146050</xdr:colOff>
          <xdr:row>12</xdr:row>
          <xdr:rowOff>139700</xdr:rowOff>
        </xdr:to>
        <xdr:sp macro="" textlink="">
          <xdr:nvSpPr>
            <xdr:cNvPr id="3113" name="Check Box 41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00000000-0008-0000-0500-00002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13</xdr:row>
          <xdr:rowOff>50800</xdr:rowOff>
        </xdr:from>
        <xdr:to>
          <xdr:col>4</xdr:col>
          <xdr:colOff>146050</xdr:colOff>
          <xdr:row>13</xdr:row>
          <xdr:rowOff>139700</xdr:rowOff>
        </xdr:to>
        <xdr:sp macro="" textlink="">
          <xdr:nvSpPr>
            <xdr:cNvPr id="3114" name="Check Box 42" hidden="1">
              <a:extLst>
                <a:ext uri="{63B3BB69-23CF-44E3-9099-C40C66FF867C}">
                  <a14:compatExt spid="_x0000_s3114"/>
                </a:ext>
                <a:ext uri="{FF2B5EF4-FFF2-40B4-BE49-F238E27FC236}">
                  <a16:creationId xmlns:a16="http://schemas.microsoft.com/office/drawing/2014/main" id="{00000000-0008-0000-0500-00002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14</xdr:row>
          <xdr:rowOff>50800</xdr:rowOff>
        </xdr:from>
        <xdr:to>
          <xdr:col>4</xdr:col>
          <xdr:colOff>146050</xdr:colOff>
          <xdr:row>14</xdr:row>
          <xdr:rowOff>139700</xdr:rowOff>
        </xdr:to>
        <xdr:sp macro="" textlink="">
          <xdr:nvSpPr>
            <xdr:cNvPr id="3115" name="Check Box 43" hidden="1">
              <a:extLst>
                <a:ext uri="{63B3BB69-23CF-44E3-9099-C40C66FF867C}">
                  <a14:compatExt spid="_x0000_s3115"/>
                </a:ext>
                <a:ext uri="{FF2B5EF4-FFF2-40B4-BE49-F238E27FC236}">
                  <a16:creationId xmlns:a16="http://schemas.microsoft.com/office/drawing/2014/main" id="{00000000-0008-0000-0500-00002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15</xdr:row>
          <xdr:rowOff>50800</xdr:rowOff>
        </xdr:from>
        <xdr:to>
          <xdr:col>4</xdr:col>
          <xdr:colOff>146050</xdr:colOff>
          <xdr:row>15</xdr:row>
          <xdr:rowOff>139700</xdr:rowOff>
        </xdr:to>
        <xdr:sp macro="" textlink="">
          <xdr:nvSpPr>
            <xdr:cNvPr id="3116" name="Check Box 44" hidden="1">
              <a:extLst>
                <a:ext uri="{63B3BB69-23CF-44E3-9099-C40C66FF867C}">
                  <a14:compatExt spid="_x0000_s3116"/>
                </a:ext>
                <a:ext uri="{FF2B5EF4-FFF2-40B4-BE49-F238E27FC236}">
                  <a16:creationId xmlns:a16="http://schemas.microsoft.com/office/drawing/2014/main" id="{00000000-0008-0000-0500-00002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16</xdr:row>
          <xdr:rowOff>50800</xdr:rowOff>
        </xdr:from>
        <xdr:to>
          <xdr:col>4</xdr:col>
          <xdr:colOff>146050</xdr:colOff>
          <xdr:row>16</xdr:row>
          <xdr:rowOff>139700</xdr:rowOff>
        </xdr:to>
        <xdr:sp macro="" textlink="">
          <xdr:nvSpPr>
            <xdr:cNvPr id="3117" name="Check Box 45" hidden="1">
              <a:extLst>
                <a:ext uri="{63B3BB69-23CF-44E3-9099-C40C66FF867C}">
                  <a14:compatExt spid="_x0000_s3117"/>
                </a:ext>
                <a:ext uri="{FF2B5EF4-FFF2-40B4-BE49-F238E27FC236}">
                  <a16:creationId xmlns:a16="http://schemas.microsoft.com/office/drawing/2014/main" id="{00000000-0008-0000-0500-00002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17</xdr:row>
          <xdr:rowOff>50800</xdr:rowOff>
        </xdr:from>
        <xdr:to>
          <xdr:col>4</xdr:col>
          <xdr:colOff>146050</xdr:colOff>
          <xdr:row>17</xdr:row>
          <xdr:rowOff>139700</xdr:rowOff>
        </xdr:to>
        <xdr:sp macro="" textlink="">
          <xdr:nvSpPr>
            <xdr:cNvPr id="3118" name="Check Box 46" hidden="1">
              <a:extLst>
                <a:ext uri="{63B3BB69-23CF-44E3-9099-C40C66FF867C}">
                  <a14:compatExt spid="_x0000_s3118"/>
                </a:ext>
                <a:ext uri="{FF2B5EF4-FFF2-40B4-BE49-F238E27FC236}">
                  <a16:creationId xmlns:a16="http://schemas.microsoft.com/office/drawing/2014/main" id="{00000000-0008-0000-0500-00002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18</xdr:row>
          <xdr:rowOff>50800</xdr:rowOff>
        </xdr:from>
        <xdr:to>
          <xdr:col>4</xdr:col>
          <xdr:colOff>146050</xdr:colOff>
          <xdr:row>18</xdr:row>
          <xdr:rowOff>139700</xdr:rowOff>
        </xdr:to>
        <xdr:sp macro="" textlink="">
          <xdr:nvSpPr>
            <xdr:cNvPr id="3119" name="Check Box 47" hidden="1">
              <a:extLst>
                <a:ext uri="{63B3BB69-23CF-44E3-9099-C40C66FF867C}">
                  <a14:compatExt spid="_x0000_s3119"/>
                </a:ext>
                <a:ext uri="{FF2B5EF4-FFF2-40B4-BE49-F238E27FC236}">
                  <a16:creationId xmlns:a16="http://schemas.microsoft.com/office/drawing/2014/main" id="{00000000-0008-0000-0500-00002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19</xdr:row>
          <xdr:rowOff>50800</xdr:rowOff>
        </xdr:from>
        <xdr:to>
          <xdr:col>4</xdr:col>
          <xdr:colOff>146050</xdr:colOff>
          <xdr:row>19</xdr:row>
          <xdr:rowOff>139700</xdr:rowOff>
        </xdr:to>
        <xdr:sp macro="" textlink="">
          <xdr:nvSpPr>
            <xdr:cNvPr id="3120" name="Check Box 48" hidden="1">
              <a:extLst>
                <a:ext uri="{63B3BB69-23CF-44E3-9099-C40C66FF867C}">
                  <a14:compatExt spid="_x0000_s3120"/>
                </a:ext>
                <a:ext uri="{FF2B5EF4-FFF2-40B4-BE49-F238E27FC236}">
                  <a16:creationId xmlns:a16="http://schemas.microsoft.com/office/drawing/2014/main" id="{00000000-0008-0000-0500-00003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20</xdr:row>
          <xdr:rowOff>50800</xdr:rowOff>
        </xdr:from>
        <xdr:to>
          <xdr:col>4</xdr:col>
          <xdr:colOff>146050</xdr:colOff>
          <xdr:row>20</xdr:row>
          <xdr:rowOff>139700</xdr:rowOff>
        </xdr:to>
        <xdr:sp macro="" textlink="">
          <xdr:nvSpPr>
            <xdr:cNvPr id="3121" name="Check Box 49" hidden="1">
              <a:extLst>
                <a:ext uri="{63B3BB69-23CF-44E3-9099-C40C66FF867C}">
                  <a14:compatExt spid="_x0000_s3121"/>
                </a:ext>
                <a:ext uri="{FF2B5EF4-FFF2-40B4-BE49-F238E27FC236}">
                  <a16:creationId xmlns:a16="http://schemas.microsoft.com/office/drawing/2014/main" id="{00000000-0008-0000-0500-00003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21</xdr:row>
          <xdr:rowOff>50800</xdr:rowOff>
        </xdr:from>
        <xdr:to>
          <xdr:col>4</xdr:col>
          <xdr:colOff>146050</xdr:colOff>
          <xdr:row>21</xdr:row>
          <xdr:rowOff>139700</xdr:rowOff>
        </xdr:to>
        <xdr:sp macro="" textlink="">
          <xdr:nvSpPr>
            <xdr:cNvPr id="3122" name="Check Box 50" hidden="1">
              <a:extLst>
                <a:ext uri="{63B3BB69-23CF-44E3-9099-C40C66FF867C}">
                  <a14:compatExt spid="_x0000_s3122"/>
                </a:ext>
                <a:ext uri="{FF2B5EF4-FFF2-40B4-BE49-F238E27FC236}">
                  <a16:creationId xmlns:a16="http://schemas.microsoft.com/office/drawing/2014/main" id="{00000000-0008-0000-0500-00003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22</xdr:row>
          <xdr:rowOff>50800</xdr:rowOff>
        </xdr:from>
        <xdr:to>
          <xdr:col>4</xdr:col>
          <xdr:colOff>146050</xdr:colOff>
          <xdr:row>22</xdr:row>
          <xdr:rowOff>139700</xdr:rowOff>
        </xdr:to>
        <xdr:sp macro="" textlink="">
          <xdr:nvSpPr>
            <xdr:cNvPr id="3123" name="Check Box 51" hidden="1">
              <a:extLst>
                <a:ext uri="{63B3BB69-23CF-44E3-9099-C40C66FF867C}">
                  <a14:compatExt spid="_x0000_s3123"/>
                </a:ext>
                <a:ext uri="{FF2B5EF4-FFF2-40B4-BE49-F238E27FC236}">
                  <a16:creationId xmlns:a16="http://schemas.microsoft.com/office/drawing/2014/main" id="{00000000-0008-0000-0500-00003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23</xdr:row>
          <xdr:rowOff>50800</xdr:rowOff>
        </xdr:from>
        <xdr:to>
          <xdr:col>4</xdr:col>
          <xdr:colOff>146050</xdr:colOff>
          <xdr:row>23</xdr:row>
          <xdr:rowOff>139700</xdr:rowOff>
        </xdr:to>
        <xdr:sp macro="" textlink="">
          <xdr:nvSpPr>
            <xdr:cNvPr id="3124" name="Check Box 52" hidden="1">
              <a:extLst>
                <a:ext uri="{63B3BB69-23CF-44E3-9099-C40C66FF867C}">
                  <a14:compatExt spid="_x0000_s3124"/>
                </a:ext>
                <a:ext uri="{FF2B5EF4-FFF2-40B4-BE49-F238E27FC236}">
                  <a16:creationId xmlns:a16="http://schemas.microsoft.com/office/drawing/2014/main" id="{00000000-0008-0000-0500-00003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24</xdr:row>
          <xdr:rowOff>50800</xdr:rowOff>
        </xdr:from>
        <xdr:to>
          <xdr:col>4</xdr:col>
          <xdr:colOff>146050</xdr:colOff>
          <xdr:row>24</xdr:row>
          <xdr:rowOff>139700</xdr:rowOff>
        </xdr:to>
        <xdr:sp macro="" textlink="">
          <xdr:nvSpPr>
            <xdr:cNvPr id="3125" name="Check Box 53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00000000-0008-0000-0500-00003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25</xdr:row>
          <xdr:rowOff>50800</xdr:rowOff>
        </xdr:from>
        <xdr:to>
          <xdr:col>4</xdr:col>
          <xdr:colOff>146050</xdr:colOff>
          <xdr:row>25</xdr:row>
          <xdr:rowOff>139700</xdr:rowOff>
        </xdr:to>
        <xdr:sp macro="" textlink="">
          <xdr:nvSpPr>
            <xdr:cNvPr id="3126" name="Check Box 54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00000000-0008-0000-0500-00003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26</xdr:row>
          <xdr:rowOff>50800</xdr:rowOff>
        </xdr:from>
        <xdr:to>
          <xdr:col>4</xdr:col>
          <xdr:colOff>146050</xdr:colOff>
          <xdr:row>26</xdr:row>
          <xdr:rowOff>139700</xdr:rowOff>
        </xdr:to>
        <xdr:sp macro="" textlink="">
          <xdr:nvSpPr>
            <xdr:cNvPr id="3127" name="Check Box 55" hidden="1">
              <a:extLst>
                <a:ext uri="{63B3BB69-23CF-44E3-9099-C40C66FF867C}">
                  <a14:compatExt spid="_x0000_s3127"/>
                </a:ext>
                <a:ext uri="{FF2B5EF4-FFF2-40B4-BE49-F238E27FC236}">
                  <a16:creationId xmlns:a16="http://schemas.microsoft.com/office/drawing/2014/main" id="{00000000-0008-0000-0500-00003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27</xdr:row>
          <xdr:rowOff>50800</xdr:rowOff>
        </xdr:from>
        <xdr:to>
          <xdr:col>4</xdr:col>
          <xdr:colOff>146050</xdr:colOff>
          <xdr:row>27</xdr:row>
          <xdr:rowOff>139700</xdr:rowOff>
        </xdr:to>
        <xdr:sp macro="" textlink="">
          <xdr:nvSpPr>
            <xdr:cNvPr id="3128" name="Check Box 56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00000000-0008-0000-0500-00003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28</xdr:row>
          <xdr:rowOff>50800</xdr:rowOff>
        </xdr:from>
        <xdr:to>
          <xdr:col>4</xdr:col>
          <xdr:colOff>146050</xdr:colOff>
          <xdr:row>28</xdr:row>
          <xdr:rowOff>139700</xdr:rowOff>
        </xdr:to>
        <xdr:sp macro="" textlink="">
          <xdr:nvSpPr>
            <xdr:cNvPr id="3129" name="Check Box 57" hidden="1">
              <a:extLst>
                <a:ext uri="{63B3BB69-23CF-44E3-9099-C40C66FF867C}">
                  <a14:compatExt spid="_x0000_s3129"/>
                </a:ext>
                <a:ext uri="{FF2B5EF4-FFF2-40B4-BE49-F238E27FC236}">
                  <a16:creationId xmlns:a16="http://schemas.microsoft.com/office/drawing/2014/main" id="{00000000-0008-0000-0500-00003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29</xdr:row>
          <xdr:rowOff>50800</xdr:rowOff>
        </xdr:from>
        <xdr:to>
          <xdr:col>4</xdr:col>
          <xdr:colOff>146050</xdr:colOff>
          <xdr:row>29</xdr:row>
          <xdr:rowOff>139700</xdr:rowOff>
        </xdr:to>
        <xdr:sp macro="" textlink="">
          <xdr:nvSpPr>
            <xdr:cNvPr id="3130" name="Check Box 58" hidden="1">
              <a:extLst>
                <a:ext uri="{63B3BB69-23CF-44E3-9099-C40C66FF867C}">
                  <a14:compatExt spid="_x0000_s3130"/>
                </a:ext>
                <a:ext uri="{FF2B5EF4-FFF2-40B4-BE49-F238E27FC236}">
                  <a16:creationId xmlns:a16="http://schemas.microsoft.com/office/drawing/2014/main" id="{00000000-0008-0000-0500-00003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30</xdr:row>
          <xdr:rowOff>50800</xdr:rowOff>
        </xdr:from>
        <xdr:to>
          <xdr:col>4</xdr:col>
          <xdr:colOff>146050</xdr:colOff>
          <xdr:row>30</xdr:row>
          <xdr:rowOff>139700</xdr:rowOff>
        </xdr:to>
        <xdr:sp macro="" textlink="">
          <xdr:nvSpPr>
            <xdr:cNvPr id="3131" name="Check Box 59" hidden="1">
              <a:extLst>
                <a:ext uri="{63B3BB69-23CF-44E3-9099-C40C66FF867C}">
                  <a14:compatExt spid="_x0000_s3131"/>
                </a:ext>
                <a:ext uri="{FF2B5EF4-FFF2-40B4-BE49-F238E27FC236}">
                  <a16:creationId xmlns:a16="http://schemas.microsoft.com/office/drawing/2014/main" id="{00000000-0008-0000-0500-00003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31</xdr:row>
          <xdr:rowOff>50800</xdr:rowOff>
        </xdr:from>
        <xdr:to>
          <xdr:col>4</xdr:col>
          <xdr:colOff>146050</xdr:colOff>
          <xdr:row>31</xdr:row>
          <xdr:rowOff>139700</xdr:rowOff>
        </xdr:to>
        <xdr:sp macro="" textlink="">
          <xdr:nvSpPr>
            <xdr:cNvPr id="3132" name="Check Box 60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00000000-0008-0000-0500-00003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32</xdr:row>
          <xdr:rowOff>50800</xdr:rowOff>
        </xdr:from>
        <xdr:to>
          <xdr:col>4</xdr:col>
          <xdr:colOff>146050</xdr:colOff>
          <xdr:row>32</xdr:row>
          <xdr:rowOff>139700</xdr:rowOff>
        </xdr:to>
        <xdr:sp macro="" textlink="">
          <xdr:nvSpPr>
            <xdr:cNvPr id="3133" name="Check Box 61" hidden="1">
              <a:extLst>
                <a:ext uri="{63B3BB69-23CF-44E3-9099-C40C66FF867C}">
                  <a14:compatExt spid="_x0000_s3133"/>
                </a:ext>
                <a:ext uri="{FF2B5EF4-FFF2-40B4-BE49-F238E27FC236}">
                  <a16:creationId xmlns:a16="http://schemas.microsoft.com/office/drawing/2014/main" id="{00000000-0008-0000-0500-00003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xdr:twoCellAnchor>
    <xdr:from>
      <xdr:col>4</xdr:col>
      <xdr:colOff>473075</xdr:colOff>
      <xdr:row>4</xdr:row>
      <xdr:rowOff>50800</xdr:rowOff>
    </xdr:from>
    <xdr:to>
      <xdr:col>12</xdr:col>
      <xdr:colOff>79375</xdr:colOff>
      <xdr:row>21</xdr:row>
      <xdr:rowOff>111125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EB8C9C-FF12-0D99-04F4-C2E9C4FDE4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33</xdr:row>
          <xdr:rowOff>50800</xdr:rowOff>
        </xdr:from>
        <xdr:to>
          <xdr:col>4</xdr:col>
          <xdr:colOff>146050</xdr:colOff>
          <xdr:row>33</xdr:row>
          <xdr:rowOff>139700</xdr:rowOff>
        </xdr:to>
        <xdr:sp macro="" textlink="">
          <xdr:nvSpPr>
            <xdr:cNvPr id="3134" name="Check Box 62" hidden="1">
              <a:extLst>
                <a:ext uri="{63B3BB69-23CF-44E3-9099-C40C66FF867C}">
                  <a14:compatExt spid="_x0000_s3134"/>
                </a:ext>
                <a:ext uri="{FF2B5EF4-FFF2-40B4-BE49-F238E27FC236}">
                  <a16:creationId xmlns:a16="http://schemas.microsoft.com/office/drawing/2014/main" id="{00000000-0008-0000-0500-00003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34</xdr:row>
          <xdr:rowOff>50800</xdr:rowOff>
        </xdr:from>
        <xdr:to>
          <xdr:col>4</xdr:col>
          <xdr:colOff>146050</xdr:colOff>
          <xdr:row>34</xdr:row>
          <xdr:rowOff>139700</xdr:rowOff>
        </xdr:to>
        <xdr:sp macro="" textlink="">
          <xdr:nvSpPr>
            <xdr:cNvPr id="3135" name="Check Box 63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00000000-0008-0000-0500-00003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35</xdr:row>
          <xdr:rowOff>50800</xdr:rowOff>
        </xdr:from>
        <xdr:to>
          <xdr:col>4</xdr:col>
          <xdr:colOff>146050</xdr:colOff>
          <xdr:row>35</xdr:row>
          <xdr:rowOff>139700</xdr:rowOff>
        </xdr:to>
        <xdr:sp macro="" textlink="">
          <xdr:nvSpPr>
            <xdr:cNvPr id="3136" name="Check Box 64" hidden="1">
              <a:extLst>
                <a:ext uri="{63B3BB69-23CF-44E3-9099-C40C66FF867C}">
                  <a14:compatExt spid="_x0000_s3136"/>
                </a:ext>
                <a:ext uri="{FF2B5EF4-FFF2-40B4-BE49-F238E27FC236}">
                  <a16:creationId xmlns:a16="http://schemas.microsoft.com/office/drawing/2014/main" id="{00000000-0008-0000-0500-00004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36</xdr:row>
          <xdr:rowOff>50800</xdr:rowOff>
        </xdr:from>
        <xdr:to>
          <xdr:col>4</xdr:col>
          <xdr:colOff>146050</xdr:colOff>
          <xdr:row>36</xdr:row>
          <xdr:rowOff>139700</xdr:rowOff>
        </xdr:to>
        <xdr:sp macro="" textlink="">
          <xdr:nvSpPr>
            <xdr:cNvPr id="3137" name="Check Box 65" hidden="1">
              <a:extLst>
                <a:ext uri="{63B3BB69-23CF-44E3-9099-C40C66FF867C}">
                  <a14:compatExt spid="_x0000_s3137"/>
                </a:ext>
                <a:ext uri="{FF2B5EF4-FFF2-40B4-BE49-F238E27FC236}">
                  <a16:creationId xmlns:a16="http://schemas.microsoft.com/office/drawing/2014/main" id="{00000000-0008-0000-0500-00004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37</xdr:row>
          <xdr:rowOff>50800</xdr:rowOff>
        </xdr:from>
        <xdr:to>
          <xdr:col>4</xdr:col>
          <xdr:colOff>146050</xdr:colOff>
          <xdr:row>37</xdr:row>
          <xdr:rowOff>139700</xdr:rowOff>
        </xdr:to>
        <xdr:sp macro="" textlink="">
          <xdr:nvSpPr>
            <xdr:cNvPr id="3138" name="Check Box 66" hidden="1">
              <a:extLst>
                <a:ext uri="{63B3BB69-23CF-44E3-9099-C40C66FF867C}">
                  <a14:compatExt spid="_x0000_s3138"/>
                </a:ext>
                <a:ext uri="{FF2B5EF4-FFF2-40B4-BE49-F238E27FC236}">
                  <a16:creationId xmlns:a16="http://schemas.microsoft.com/office/drawing/2014/main" id="{00000000-0008-0000-0500-00004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38</xdr:row>
          <xdr:rowOff>50800</xdr:rowOff>
        </xdr:from>
        <xdr:to>
          <xdr:col>4</xdr:col>
          <xdr:colOff>146050</xdr:colOff>
          <xdr:row>38</xdr:row>
          <xdr:rowOff>139700</xdr:rowOff>
        </xdr:to>
        <xdr:sp macro="" textlink="">
          <xdr:nvSpPr>
            <xdr:cNvPr id="3139" name="Check Box 67" hidden="1">
              <a:extLst>
                <a:ext uri="{63B3BB69-23CF-44E3-9099-C40C66FF867C}">
                  <a14:compatExt spid="_x0000_s3139"/>
                </a:ext>
                <a:ext uri="{FF2B5EF4-FFF2-40B4-BE49-F238E27FC236}">
                  <a16:creationId xmlns:a16="http://schemas.microsoft.com/office/drawing/2014/main" id="{00000000-0008-0000-0500-00004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39</xdr:row>
          <xdr:rowOff>50800</xdr:rowOff>
        </xdr:from>
        <xdr:to>
          <xdr:col>4</xdr:col>
          <xdr:colOff>146050</xdr:colOff>
          <xdr:row>39</xdr:row>
          <xdr:rowOff>139700</xdr:rowOff>
        </xdr:to>
        <xdr:sp macro="" textlink="">
          <xdr:nvSpPr>
            <xdr:cNvPr id="3140" name="Check Box 68" hidden="1">
              <a:extLst>
                <a:ext uri="{63B3BB69-23CF-44E3-9099-C40C66FF867C}">
                  <a14:compatExt spid="_x0000_s3140"/>
                </a:ext>
                <a:ext uri="{FF2B5EF4-FFF2-40B4-BE49-F238E27FC236}">
                  <a16:creationId xmlns:a16="http://schemas.microsoft.com/office/drawing/2014/main" id="{00000000-0008-0000-0500-00004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40</xdr:row>
          <xdr:rowOff>50800</xdr:rowOff>
        </xdr:from>
        <xdr:to>
          <xdr:col>4</xdr:col>
          <xdr:colOff>146050</xdr:colOff>
          <xdr:row>40</xdr:row>
          <xdr:rowOff>139700</xdr:rowOff>
        </xdr:to>
        <xdr:sp macro="" textlink="">
          <xdr:nvSpPr>
            <xdr:cNvPr id="3141" name="Check Box 69" hidden="1">
              <a:extLst>
                <a:ext uri="{63B3BB69-23CF-44E3-9099-C40C66FF867C}">
                  <a14:compatExt spid="_x0000_s3141"/>
                </a:ext>
                <a:ext uri="{FF2B5EF4-FFF2-40B4-BE49-F238E27FC236}">
                  <a16:creationId xmlns:a16="http://schemas.microsoft.com/office/drawing/2014/main" id="{00000000-0008-0000-0500-00004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41</xdr:row>
          <xdr:rowOff>50800</xdr:rowOff>
        </xdr:from>
        <xdr:to>
          <xdr:col>4</xdr:col>
          <xdr:colOff>146050</xdr:colOff>
          <xdr:row>41</xdr:row>
          <xdr:rowOff>139700</xdr:rowOff>
        </xdr:to>
        <xdr:sp macro="" textlink="">
          <xdr:nvSpPr>
            <xdr:cNvPr id="3142" name="Check Box 70" hidden="1">
              <a:extLst>
                <a:ext uri="{63B3BB69-23CF-44E3-9099-C40C66FF867C}">
                  <a14:compatExt spid="_x0000_s3142"/>
                </a:ext>
                <a:ext uri="{FF2B5EF4-FFF2-40B4-BE49-F238E27FC236}">
                  <a16:creationId xmlns:a16="http://schemas.microsoft.com/office/drawing/2014/main" id="{00000000-0008-0000-0500-00004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42</xdr:row>
          <xdr:rowOff>50800</xdr:rowOff>
        </xdr:from>
        <xdr:to>
          <xdr:col>4</xdr:col>
          <xdr:colOff>146050</xdr:colOff>
          <xdr:row>42</xdr:row>
          <xdr:rowOff>139700</xdr:rowOff>
        </xdr:to>
        <xdr:sp macro="" textlink="">
          <xdr:nvSpPr>
            <xdr:cNvPr id="3143" name="Check Box 71" hidden="1">
              <a:extLst>
                <a:ext uri="{63B3BB69-23CF-44E3-9099-C40C66FF867C}">
                  <a14:compatExt spid="_x0000_s3143"/>
                </a:ext>
                <a:ext uri="{FF2B5EF4-FFF2-40B4-BE49-F238E27FC236}">
                  <a16:creationId xmlns:a16="http://schemas.microsoft.com/office/drawing/2014/main" id="{00000000-0008-0000-0500-00004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43</xdr:row>
          <xdr:rowOff>50800</xdr:rowOff>
        </xdr:from>
        <xdr:to>
          <xdr:col>4</xdr:col>
          <xdr:colOff>146050</xdr:colOff>
          <xdr:row>43</xdr:row>
          <xdr:rowOff>139700</xdr:rowOff>
        </xdr:to>
        <xdr:sp macro="" textlink="">
          <xdr:nvSpPr>
            <xdr:cNvPr id="3144" name="Check Box 72" hidden="1">
              <a:extLst>
                <a:ext uri="{63B3BB69-23CF-44E3-9099-C40C66FF867C}">
                  <a14:compatExt spid="_x0000_s3144"/>
                </a:ext>
                <a:ext uri="{FF2B5EF4-FFF2-40B4-BE49-F238E27FC236}">
                  <a16:creationId xmlns:a16="http://schemas.microsoft.com/office/drawing/2014/main" id="{00000000-0008-0000-0500-00004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</xdr:row>
          <xdr:rowOff>50800</xdr:rowOff>
        </xdr:from>
        <xdr:to>
          <xdr:col>4</xdr:col>
          <xdr:colOff>146050</xdr:colOff>
          <xdr:row>2</xdr:row>
          <xdr:rowOff>139700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6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</xdr:row>
          <xdr:rowOff>50800</xdr:rowOff>
        </xdr:from>
        <xdr:to>
          <xdr:col>4</xdr:col>
          <xdr:colOff>146050</xdr:colOff>
          <xdr:row>3</xdr:row>
          <xdr:rowOff>139700</xdr:rowOff>
        </xdr:to>
        <xdr:sp macro="" textlink="">
          <xdr:nvSpPr>
            <xdr:cNvPr id="4149" name="Check Box 53" hidden="1">
              <a:extLst>
                <a:ext uri="{63B3BB69-23CF-44E3-9099-C40C66FF867C}">
                  <a14:compatExt spid="_x0000_s4149"/>
                </a:ext>
                <a:ext uri="{FF2B5EF4-FFF2-40B4-BE49-F238E27FC236}">
                  <a16:creationId xmlns:a16="http://schemas.microsoft.com/office/drawing/2014/main" id="{00000000-0008-0000-0600-00003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</xdr:row>
          <xdr:rowOff>50800</xdr:rowOff>
        </xdr:from>
        <xdr:to>
          <xdr:col>4</xdr:col>
          <xdr:colOff>146050</xdr:colOff>
          <xdr:row>4</xdr:row>
          <xdr:rowOff>139700</xdr:rowOff>
        </xdr:to>
        <xdr:sp macro="" textlink="">
          <xdr:nvSpPr>
            <xdr:cNvPr id="4150" name="Check Box 54" hidden="1">
              <a:extLst>
                <a:ext uri="{63B3BB69-23CF-44E3-9099-C40C66FF867C}">
                  <a14:compatExt spid="_x0000_s4150"/>
                </a:ext>
                <a:ext uri="{FF2B5EF4-FFF2-40B4-BE49-F238E27FC236}">
                  <a16:creationId xmlns:a16="http://schemas.microsoft.com/office/drawing/2014/main" id="{00000000-0008-0000-0600-00003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</xdr:row>
          <xdr:rowOff>50800</xdr:rowOff>
        </xdr:from>
        <xdr:to>
          <xdr:col>4</xdr:col>
          <xdr:colOff>146050</xdr:colOff>
          <xdr:row>5</xdr:row>
          <xdr:rowOff>139700</xdr:rowOff>
        </xdr:to>
        <xdr:sp macro="" textlink="">
          <xdr:nvSpPr>
            <xdr:cNvPr id="4151" name="Check Box 55" hidden="1">
              <a:extLst>
                <a:ext uri="{63B3BB69-23CF-44E3-9099-C40C66FF867C}">
                  <a14:compatExt spid="_x0000_s4151"/>
                </a:ext>
                <a:ext uri="{FF2B5EF4-FFF2-40B4-BE49-F238E27FC236}">
                  <a16:creationId xmlns:a16="http://schemas.microsoft.com/office/drawing/2014/main" id="{00000000-0008-0000-0600-00003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</xdr:row>
          <xdr:rowOff>50800</xdr:rowOff>
        </xdr:from>
        <xdr:to>
          <xdr:col>4</xdr:col>
          <xdr:colOff>146050</xdr:colOff>
          <xdr:row>6</xdr:row>
          <xdr:rowOff>139700</xdr:rowOff>
        </xdr:to>
        <xdr:sp macro="" textlink="">
          <xdr:nvSpPr>
            <xdr:cNvPr id="4152" name="Check Box 56" hidden="1">
              <a:extLst>
                <a:ext uri="{63B3BB69-23CF-44E3-9099-C40C66FF867C}">
                  <a14:compatExt spid="_x0000_s4152"/>
                </a:ext>
                <a:ext uri="{FF2B5EF4-FFF2-40B4-BE49-F238E27FC236}">
                  <a16:creationId xmlns:a16="http://schemas.microsoft.com/office/drawing/2014/main" id="{00000000-0008-0000-0600-00003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7</xdr:row>
          <xdr:rowOff>50800</xdr:rowOff>
        </xdr:from>
        <xdr:to>
          <xdr:col>4</xdr:col>
          <xdr:colOff>146050</xdr:colOff>
          <xdr:row>7</xdr:row>
          <xdr:rowOff>139700</xdr:rowOff>
        </xdr:to>
        <xdr:sp macro="" textlink="">
          <xdr:nvSpPr>
            <xdr:cNvPr id="4153" name="Check Box 57" hidden="1">
              <a:extLst>
                <a:ext uri="{63B3BB69-23CF-44E3-9099-C40C66FF867C}">
                  <a14:compatExt spid="_x0000_s4153"/>
                </a:ext>
                <a:ext uri="{FF2B5EF4-FFF2-40B4-BE49-F238E27FC236}">
                  <a16:creationId xmlns:a16="http://schemas.microsoft.com/office/drawing/2014/main" id="{00000000-0008-0000-0600-00003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8</xdr:row>
          <xdr:rowOff>50800</xdr:rowOff>
        </xdr:from>
        <xdr:to>
          <xdr:col>4</xdr:col>
          <xdr:colOff>146050</xdr:colOff>
          <xdr:row>8</xdr:row>
          <xdr:rowOff>139700</xdr:rowOff>
        </xdr:to>
        <xdr:sp macro="" textlink="">
          <xdr:nvSpPr>
            <xdr:cNvPr id="4154" name="Check Box 58" hidden="1">
              <a:extLst>
                <a:ext uri="{63B3BB69-23CF-44E3-9099-C40C66FF867C}">
                  <a14:compatExt spid="_x0000_s4154"/>
                </a:ext>
                <a:ext uri="{FF2B5EF4-FFF2-40B4-BE49-F238E27FC236}">
                  <a16:creationId xmlns:a16="http://schemas.microsoft.com/office/drawing/2014/main" id="{00000000-0008-0000-0600-00003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9</xdr:row>
          <xdr:rowOff>50800</xdr:rowOff>
        </xdr:from>
        <xdr:to>
          <xdr:col>4</xdr:col>
          <xdr:colOff>146050</xdr:colOff>
          <xdr:row>9</xdr:row>
          <xdr:rowOff>139700</xdr:rowOff>
        </xdr:to>
        <xdr:sp macro="" textlink="">
          <xdr:nvSpPr>
            <xdr:cNvPr id="4155" name="Check Box 59" hidden="1">
              <a:extLst>
                <a:ext uri="{63B3BB69-23CF-44E3-9099-C40C66FF867C}">
                  <a14:compatExt spid="_x0000_s4155"/>
                </a:ext>
                <a:ext uri="{FF2B5EF4-FFF2-40B4-BE49-F238E27FC236}">
                  <a16:creationId xmlns:a16="http://schemas.microsoft.com/office/drawing/2014/main" id="{00000000-0008-0000-0600-00003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10</xdr:row>
          <xdr:rowOff>50800</xdr:rowOff>
        </xdr:from>
        <xdr:to>
          <xdr:col>4</xdr:col>
          <xdr:colOff>146050</xdr:colOff>
          <xdr:row>10</xdr:row>
          <xdr:rowOff>139700</xdr:rowOff>
        </xdr:to>
        <xdr:sp macro="" textlink="">
          <xdr:nvSpPr>
            <xdr:cNvPr id="4156" name="Check Box 60" hidden="1">
              <a:extLst>
                <a:ext uri="{63B3BB69-23CF-44E3-9099-C40C66FF867C}">
                  <a14:compatExt spid="_x0000_s4156"/>
                </a:ext>
                <a:ext uri="{FF2B5EF4-FFF2-40B4-BE49-F238E27FC236}">
                  <a16:creationId xmlns:a16="http://schemas.microsoft.com/office/drawing/2014/main" id="{00000000-0008-0000-0600-00003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</xdr:row>
          <xdr:rowOff>50800</xdr:rowOff>
        </xdr:from>
        <xdr:to>
          <xdr:col>4</xdr:col>
          <xdr:colOff>146050</xdr:colOff>
          <xdr:row>3</xdr:row>
          <xdr:rowOff>139700</xdr:rowOff>
        </xdr:to>
        <xdr:sp macro="" textlink="">
          <xdr:nvSpPr>
            <xdr:cNvPr id="4157" name="Check Box 61" hidden="1">
              <a:extLst>
                <a:ext uri="{63B3BB69-23CF-44E3-9099-C40C66FF867C}">
                  <a14:compatExt spid="_x0000_s4157"/>
                </a:ext>
                <a:ext uri="{FF2B5EF4-FFF2-40B4-BE49-F238E27FC236}">
                  <a16:creationId xmlns:a16="http://schemas.microsoft.com/office/drawing/2014/main" id="{00000000-0008-0000-0600-00003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</xdr:row>
          <xdr:rowOff>50800</xdr:rowOff>
        </xdr:from>
        <xdr:to>
          <xdr:col>4</xdr:col>
          <xdr:colOff>146050</xdr:colOff>
          <xdr:row>4</xdr:row>
          <xdr:rowOff>139700</xdr:rowOff>
        </xdr:to>
        <xdr:sp macro="" textlink="">
          <xdr:nvSpPr>
            <xdr:cNvPr id="4158" name="Check Box 62" hidden="1">
              <a:extLst>
                <a:ext uri="{63B3BB69-23CF-44E3-9099-C40C66FF867C}">
                  <a14:compatExt spid="_x0000_s4158"/>
                </a:ext>
                <a:ext uri="{FF2B5EF4-FFF2-40B4-BE49-F238E27FC236}">
                  <a16:creationId xmlns:a16="http://schemas.microsoft.com/office/drawing/2014/main" id="{00000000-0008-0000-0600-00003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</xdr:row>
          <xdr:rowOff>50800</xdr:rowOff>
        </xdr:from>
        <xdr:to>
          <xdr:col>4</xdr:col>
          <xdr:colOff>146050</xdr:colOff>
          <xdr:row>5</xdr:row>
          <xdr:rowOff>139700</xdr:rowOff>
        </xdr:to>
        <xdr:sp macro="" textlink="">
          <xdr:nvSpPr>
            <xdr:cNvPr id="4159" name="Check Box 63" hidden="1">
              <a:extLst>
                <a:ext uri="{63B3BB69-23CF-44E3-9099-C40C66FF867C}">
                  <a14:compatExt spid="_x0000_s4159"/>
                </a:ext>
                <a:ext uri="{FF2B5EF4-FFF2-40B4-BE49-F238E27FC236}">
                  <a16:creationId xmlns:a16="http://schemas.microsoft.com/office/drawing/2014/main" id="{00000000-0008-0000-0600-00003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</xdr:row>
          <xdr:rowOff>50800</xdr:rowOff>
        </xdr:from>
        <xdr:to>
          <xdr:col>4</xdr:col>
          <xdr:colOff>146050</xdr:colOff>
          <xdr:row>6</xdr:row>
          <xdr:rowOff>139700</xdr:rowOff>
        </xdr:to>
        <xdr:sp macro="" textlink="">
          <xdr:nvSpPr>
            <xdr:cNvPr id="4160" name="Check Box 64" hidden="1">
              <a:extLst>
                <a:ext uri="{63B3BB69-23CF-44E3-9099-C40C66FF867C}">
                  <a14:compatExt spid="_x0000_s4160"/>
                </a:ext>
                <a:ext uri="{FF2B5EF4-FFF2-40B4-BE49-F238E27FC236}">
                  <a16:creationId xmlns:a16="http://schemas.microsoft.com/office/drawing/2014/main" id="{00000000-0008-0000-0600-00004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7</xdr:row>
          <xdr:rowOff>50800</xdr:rowOff>
        </xdr:from>
        <xdr:to>
          <xdr:col>4</xdr:col>
          <xdr:colOff>146050</xdr:colOff>
          <xdr:row>7</xdr:row>
          <xdr:rowOff>139700</xdr:rowOff>
        </xdr:to>
        <xdr:sp macro="" textlink="">
          <xdr:nvSpPr>
            <xdr:cNvPr id="4161" name="Check Box 65" hidden="1">
              <a:extLst>
                <a:ext uri="{63B3BB69-23CF-44E3-9099-C40C66FF867C}">
                  <a14:compatExt spid="_x0000_s4161"/>
                </a:ext>
                <a:ext uri="{FF2B5EF4-FFF2-40B4-BE49-F238E27FC236}">
                  <a16:creationId xmlns:a16="http://schemas.microsoft.com/office/drawing/2014/main" id="{00000000-0008-0000-0600-00004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8</xdr:row>
          <xdr:rowOff>50800</xdr:rowOff>
        </xdr:from>
        <xdr:to>
          <xdr:col>4</xdr:col>
          <xdr:colOff>146050</xdr:colOff>
          <xdr:row>8</xdr:row>
          <xdr:rowOff>139700</xdr:rowOff>
        </xdr:to>
        <xdr:sp macro="" textlink="">
          <xdr:nvSpPr>
            <xdr:cNvPr id="4162" name="Check Box 66" hidden="1">
              <a:extLst>
                <a:ext uri="{63B3BB69-23CF-44E3-9099-C40C66FF867C}">
                  <a14:compatExt spid="_x0000_s4162"/>
                </a:ext>
                <a:ext uri="{FF2B5EF4-FFF2-40B4-BE49-F238E27FC236}">
                  <a16:creationId xmlns:a16="http://schemas.microsoft.com/office/drawing/2014/main" id="{00000000-0008-0000-0600-00004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9</xdr:row>
          <xdr:rowOff>50800</xdr:rowOff>
        </xdr:from>
        <xdr:to>
          <xdr:col>4</xdr:col>
          <xdr:colOff>146050</xdr:colOff>
          <xdr:row>9</xdr:row>
          <xdr:rowOff>139700</xdr:rowOff>
        </xdr:to>
        <xdr:sp macro="" textlink="">
          <xdr:nvSpPr>
            <xdr:cNvPr id="4163" name="Check Box 67" hidden="1">
              <a:extLst>
                <a:ext uri="{63B3BB69-23CF-44E3-9099-C40C66FF867C}">
                  <a14:compatExt spid="_x0000_s4163"/>
                </a:ext>
                <a:ext uri="{FF2B5EF4-FFF2-40B4-BE49-F238E27FC236}">
                  <a16:creationId xmlns:a16="http://schemas.microsoft.com/office/drawing/2014/main" id="{00000000-0008-0000-0600-00004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10</xdr:row>
          <xdr:rowOff>50800</xdr:rowOff>
        </xdr:from>
        <xdr:to>
          <xdr:col>4</xdr:col>
          <xdr:colOff>146050</xdr:colOff>
          <xdr:row>10</xdr:row>
          <xdr:rowOff>139700</xdr:rowOff>
        </xdr:to>
        <xdr:sp macro="" textlink="">
          <xdr:nvSpPr>
            <xdr:cNvPr id="4164" name="Check Box 68" hidden="1">
              <a:extLst>
                <a:ext uri="{63B3BB69-23CF-44E3-9099-C40C66FF867C}">
                  <a14:compatExt spid="_x0000_s4164"/>
                </a:ext>
                <a:ext uri="{FF2B5EF4-FFF2-40B4-BE49-F238E27FC236}">
                  <a16:creationId xmlns:a16="http://schemas.microsoft.com/office/drawing/2014/main" id="{00000000-0008-0000-0600-00004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11</xdr:row>
          <xdr:rowOff>50800</xdr:rowOff>
        </xdr:from>
        <xdr:to>
          <xdr:col>4</xdr:col>
          <xdr:colOff>146050</xdr:colOff>
          <xdr:row>11</xdr:row>
          <xdr:rowOff>139700</xdr:rowOff>
        </xdr:to>
        <xdr:sp macro="" textlink="">
          <xdr:nvSpPr>
            <xdr:cNvPr id="4165" name="Check Box 69" hidden="1">
              <a:extLst>
                <a:ext uri="{63B3BB69-23CF-44E3-9099-C40C66FF867C}">
                  <a14:compatExt spid="_x0000_s4165"/>
                </a:ext>
                <a:ext uri="{FF2B5EF4-FFF2-40B4-BE49-F238E27FC236}">
                  <a16:creationId xmlns:a16="http://schemas.microsoft.com/office/drawing/2014/main" id="{00000000-0008-0000-0600-00004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12</xdr:row>
          <xdr:rowOff>50800</xdr:rowOff>
        </xdr:from>
        <xdr:to>
          <xdr:col>4</xdr:col>
          <xdr:colOff>146050</xdr:colOff>
          <xdr:row>12</xdr:row>
          <xdr:rowOff>139700</xdr:rowOff>
        </xdr:to>
        <xdr:sp macro="" textlink="">
          <xdr:nvSpPr>
            <xdr:cNvPr id="4166" name="Check Box 70" hidden="1">
              <a:extLst>
                <a:ext uri="{63B3BB69-23CF-44E3-9099-C40C66FF867C}">
                  <a14:compatExt spid="_x0000_s4166"/>
                </a:ext>
                <a:ext uri="{FF2B5EF4-FFF2-40B4-BE49-F238E27FC236}">
                  <a16:creationId xmlns:a16="http://schemas.microsoft.com/office/drawing/2014/main" id="{00000000-0008-0000-0600-00004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13</xdr:row>
          <xdr:rowOff>50800</xdr:rowOff>
        </xdr:from>
        <xdr:to>
          <xdr:col>4</xdr:col>
          <xdr:colOff>146050</xdr:colOff>
          <xdr:row>13</xdr:row>
          <xdr:rowOff>139700</xdr:rowOff>
        </xdr:to>
        <xdr:sp macro="" textlink="">
          <xdr:nvSpPr>
            <xdr:cNvPr id="4167" name="Check Box 71" hidden="1">
              <a:extLst>
                <a:ext uri="{63B3BB69-23CF-44E3-9099-C40C66FF867C}">
                  <a14:compatExt spid="_x0000_s4167"/>
                </a:ext>
                <a:ext uri="{FF2B5EF4-FFF2-40B4-BE49-F238E27FC236}">
                  <a16:creationId xmlns:a16="http://schemas.microsoft.com/office/drawing/2014/main" id="{00000000-0008-0000-0600-00004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14</xdr:row>
          <xdr:rowOff>50800</xdr:rowOff>
        </xdr:from>
        <xdr:to>
          <xdr:col>4</xdr:col>
          <xdr:colOff>146050</xdr:colOff>
          <xdr:row>14</xdr:row>
          <xdr:rowOff>139700</xdr:rowOff>
        </xdr:to>
        <xdr:sp macro="" textlink="">
          <xdr:nvSpPr>
            <xdr:cNvPr id="4168" name="Check Box 72" hidden="1">
              <a:extLst>
                <a:ext uri="{63B3BB69-23CF-44E3-9099-C40C66FF867C}">
                  <a14:compatExt spid="_x0000_s4168"/>
                </a:ext>
                <a:ext uri="{FF2B5EF4-FFF2-40B4-BE49-F238E27FC236}">
                  <a16:creationId xmlns:a16="http://schemas.microsoft.com/office/drawing/2014/main" id="{00000000-0008-0000-0600-00004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15</xdr:row>
          <xdr:rowOff>50800</xdr:rowOff>
        </xdr:from>
        <xdr:to>
          <xdr:col>4</xdr:col>
          <xdr:colOff>146050</xdr:colOff>
          <xdr:row>15</xdr:row>
          <xdr:rowOff>139700</xdr:rowOff>
        </xdr:to>
        <xdr:sp macro="" textlink="">
          <xdr:nvSpPr>
            <xdr:cNvPr id="4169" name="Check Box 73" hidden="1">
              <a:extLst>
                <a:ext uri="{63B3BB69-23CF-44E3-9099-C40C66FF867C}">
                  <a14:compatExt spid="_x0000_s4169"/>
                </a:ext>
                <a:ext uri="{FF2B5EF4-FFF2-40B4-BE49-F238E27FC236}">
                  <a16:creationId xmlns:a16="http://schemas.microsoft.com/office/drawing/2014/main" id="{00000000-0008-0000-0600-00004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16</xdr:row>
          <xdr:rowOff>50800</xdr:rowOff>
        </xdr:from>
        <xdr:to>
          <xdr:col>4</xdr:col>
          <xdr:colOff>146050</xdr:colOff>
          <xdr:row>16</xdr:row>
          <xdr:rowOff>139700</xdr:rowOff>
        </xdr:to>
        <xdr:sp macro="" textlink="">
          <xdr:nvSpPr>
            <xdr:cNvPr id="4170" name="Check Box 74" hidden="1">
              <a:extLst>
                <a:ext uri="{63B3BB69-23CF-44E3-9099-C40C66FF867C}">
                  <a14:compatExt spid="_x0000_s4170"/>
                </a:ext>
                <a:ext uri="{FF2B5EF4-FFF2-40B4-BE49-F238E27FC236}">
                  <a16:creationId xmlns:a16="http://schemas.microsoft.com/office/drawing/2014/main" id="{00000000-0008-0000-0600-00004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17</xdr:row>
          <xdr:rowOff>50800</xdr:rowOff>
        </xdr:from>
        <xdr:to>
          <xdr:col>4</xdr:col>
          <xdr:colOff>146050</xdr:colOff>
          <xdr:row>17</xdr:row>
          <xdr:rowOff>139700</xdr:rowOff>
        </xdr:to>
        <xdr:sp macro="" textlink="">
          <xdr:nvSpPr>
            <xdr:cNvPr id="4171" name="Check Box 75" hidden="1">
              <a:extLst>
                <a:ext uri="{63B3BB69-23CF-44E3-9099-C40C66FF867C}">
                  <a14:compatExt spid="_x0000_s4171"/>
                </a:ext>
                <a:ext uri="{FF2B5EF4-FFF2-40B4-BE49-F238E27FC236}">
                  <a16:creationId xmlns:a16="http://schemas.microsoft.com/office/drawing/2014/main" id="{00000000-0008-0000-0600-00004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18</xdr:row>
          <xdr:rowOff>50800</xdr:rowOff>
        </xdr:from>
        <xdr:to>
          <xdr:col>4</xdr:col>
          <xdr:colOff>146050</xdr:colOff>
          <xdr:row>18</xdr:row>
          <xdr:rowOff>139700</xdr:rowOff>
        </xdr:to>
        <xdr:sp macro="" textlink="">
          <xdr:nvSpPr>
            <xdr:cNvPr id="4172" name="Check Box 76" hidden="1">
              <a:extLst>
                <a:ext uri="{63B3BB69-23CF-44E3-9099-C40C66FF867C}">
                  <a14:compatExt spid="_x0000_s4172"/>
                </a:ext>
                <a:ext uri="{FF2B5EF4-FFF2-40B4-BE49-F238E27FC236}">
                  <a16:creationId xmlns:a16="http://schemas.microsoft.com/office/drawing/2014/main" id="{00000000-0008-0000-0600-00004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19</xdr:row>
          <xdr:rowOff>50800</xdr:rowOff>
        </xdr:from>
        <xdr:to>
          <xdr:col>4</xdr:col>
          <xdr:colOff>146050</xdr:colOff>
          <xdr:row>19</xdr:row>
          <xdr:rowOff>139700</xdr:rowOff>
        </xdr:to>
        <xdr:sp macro="" textlink="">
          <xdr:nvSpPr>
            <xdr:cNvPr id="4173" name="Check Box 77" hidden="1">
              <a:extLst>
                <a:ext uri="{63B3BB69-23CF-44E3-9099-C40C66FF867C}">
                  <a14:compatExt spid="_x0000_s4173"/>
                </a:ext>
                <a:ext uri="{FF2B5EF4-FFF2-40B4-BE49-F238E27FC236}">
                  <a16:creationId xmlns:a16="http://schemas.microsoft.com/office/drawing/2014/main" id="{00000000-0008-0000-0600-00004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20</xdr:row>
          <xdr:rowOff>50800</xdr:rowOff>
        </xdr:from>
        <xdr:to>
          <xdr:col>4</xdr:col>
          <xdr:colOff>146050</xdr:colOff>
          <xdr:row>20</xdr:row>
          <xdr:rowOff>139700</xdr:rowOff>
        </xdr:to>
        <xdr:sp macro="" textlink="">
          <xdr:nvSpPr>
            <xdr:cNvPr id="4174" name="Check Box 78" hidden="1">
              <a:extLst>
                <a:ext uri="{63B3BB69-23CF-44E3-9099-C40C66FF867C}">
                  <a14:compatExt spid="_x0000_s4174"/>
                </a:ext>
                <a:ext uri="{FF2B5EF4-FFF2-40B4-BE49-F238E27FC236}">
                  <a16:creationId xmlns:a16="http://schemas.microsoft.com/office/drawing/2014/main" id="{00000000-0008-0000-0600-00004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21</xdr:row>
          <xdr:rowOff>50800</xdr:rowOff>
        </xdr:from>
        <xdr:to>
          <xdr:col>4</xdr:col>
          <xdr:colOff>146050</xdr:colOff>
          <xdr:row>21</xdr:row>
          <xdr:rowOff>139700</xdr:rowOff>
        </xdr:to>
        <xdr:sp macro="" textlink="">
          <xdr:nvSpPr>
            <xdr:cNvPr id="4175" name="Check Box 79" hidden="1">
              <a:extLst>
                <a:ext uri="{63B3BB69-23CF-44E3-9099-C40C66FF867C}">
                  <a14:compatExt spid="_x0000_s4175"/>
                </a:ext>
                <a:ext uri="{FF2B5EF4-FFF2-40B4-BE49-F238E27FC236}">
                  <a16:creationId xmlns:a16="http://schemas.microsoft.com/office/drawing/2014/main" id="{00000000-0008-0000-0600-00004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22</xdr:row>
          <xdr:rowOff>50800</xdr:rowOff>
        </xdr:from>
        <xdr:to>
          <xdr:col>4</xdr:col>
          <xdr:colOff>146050</xdr:colOff>
          <xdr:row>22</xdr:row>
          <xdr:rowOff>139700</xdr:rowOff>
        </xdr:to>
        <xdr:sp macro="" textlink="">
          <xdr:nvSpPr>
            <xdr:cNvPr id="4176" name="Check Box 80" hidden="1">
              <a:extLst>
                <a:ext uri="{63B3BB69-23CF-44E3-9099-C40C66FF867C}">
                  <a14:compatExt spid="_x0000_s4176"/>
                </a:ext>
                <a:ext uri="{FF2B5EF4-FFF2-40B4-BE49-F238E27FC236}">
                  <a16:creationId xmlns:a16="http://schemas.microsoft.com/office/drawing/2014/main" id="{00000000-0008-0000-0600-00005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23</xdr:row>
          <xdr:rowOff>50800</xdr:rowOff>
        </xdr:from>
        <xdr:to>
          <xdr:col>4</xdr:col>
          <xdr:colOff>146050</xdr:colOff>
          <xdr:row>23</xdr:row>
          <xdr:rowOff>139700</xdr:rowOff>
        </xdr:to>
        <xdr:sp macro="" textlink="">
          <xdr:nvSpPr>
            <xdr:cNvPr id="4177" name="Check Box 81" hidden="1">
              <a:extLst>
                <a:ext uri="{63B3BB69-23CF-44E3-9099-C40C66FF867C}">
                  <a14:compatExt spid="_x0000_s4177"/>
                </a:ext>
                <a:ext uri="{FF2B5EF4-FFF2-40B4-BE49-F238E27FC236}">
                  <a16:creationId xmlns:a16="http://schemas.microsoft.com/office/drawing/2014/main" id="{00000000-0008-0000-0600-00005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24</xdr:row>
          <xdr:rowOff>50800</xdr:rowOff>
        </xdr:from>
        <xdr:to>
          <xdr:col>4</xdr:col>
          <xdr:colOff>146050</xdr:colOff>
          <xdr:row>24</xdr:row>
          <xdr:rowOff>139700</xdr:rowOff>
        </xdr:to>
        <xdr:sp macro="" textlink="">
          <xdr:nvSpPr>
            <xdr:cNvPr id="4178" name="Check Box 82" hidden="1">
              <a:extLst>
                <a:ext uri="{63B3BB69-23CF-44E3-9099-C40C66FF867C}">
                  <a14:compatExt spid="_x0000_s4178"/>
                </a:ext>
                <a:ext uri="{FF2B5EF4-FFF2-40B4-BE49-F238E27FC236}">
                  <a16:creationId xmlns:a16="http://schemas.microsoft.com/office/drawing/2014/main" id="{00000000-0008-0000-0600-00005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25</xdr:row>
          <xdr:rowOff>50800</xdr:rowOff>
        </xdr:from>
        <xdr:to>
          <xdr:col>4</xdr:col>
          <xdr:colOff>146050</xdr:colOff>
          <xdr:row>25</xdr:row>
          <xdr:rowOff>139700</xdr:rowOff>
        </xdr:to>
        <xdr:sp macro="" textlink="">
          <xdr:nvSpPr>
            <xdr:cNvPr id="4179" name="Check Box 83" hidden="1">
              <a:extLst>
                <a:ext uri="{63B3BB69-23CF-44E3-9099-C40C66FF867C}">
                  <a14:compatExt spid="_x0000_s4179"/>
                </a:ext>
                <a:ext uri="{FF2B5EF4-FFF2-40B4-BE49-F238E27FC236}">
                  <a16:creationId xmlns:a16="http://schemas.microsoft.com/office/drawing/2014/main" id="{00000000-0008-0000-0600-00005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26</xdr:row>
          <xdr:rowOff>50800</xdr:rowOff>
        </xdr:from>
        <xdr:to>
          <xdr:col>4</xdr:col>
          <xdr:colOff>146050</xdr:colOff>
          <xdr:row>26</xdr:row>
          <xdr:rowOff>139700</xdr:rowOff>
        </xdr:to>
        <xdr:sp macro="" textlink="">
          <xdr:nvSpPr>
            <xdr:cNvPr id="4180" name="Check Box 84" hidden="1">
              <a:extLst>
                <a:ext uri="{63B3BB69-23CF-44E3-9099-C40C66FF867C}">
                  <a14:compatExt spid="_x0000_s4180"/>
                </a:ext>
                <a:ext uri="{FF2B5EF4-FFF2-40B4-BE49-F238E27FC236}">
                  <a16:creationId xmlns:a16="http://schemas.microsoft.com/office/drawing/2014/main" id="{00000000-0008-0000-0600-00005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27</xdr:row>
          <xdr:rowOff>50800</xdr:rowOff>
        </xdr:from>
        <xdr:to>
          <xdr:col>4</xdr:col>
          <xdr:colOff>146050</xdr:colOff>
          <xdr:row>27</xdr:row>
          <xdr:rowOff>139700</xdr:rowOff>
        </xdr:to>
        <xdr:sp macro="" textlink="">
          <xdr:nvSpPr>
            <xdr:cNvPr id="4181" name="Check Box 85" hidden="1">
              <a:extLst>
                <a:ext uri="{63B3BB69-23CF-44E3-9099-C40C66FF867C}">
                  <a14:compatExt spid="_x0000_s4181"/>
                </a:ext>
                <a:ext uri="{FF2B5EF4-FFF2-40B4-BE49-F238E27FC236}">
                  <a16:creationId xmlns:a16="http://schemas.microsoft.com/office/drawing/2014/main" id="{00000000-0008-0000-0600-00005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28</xdr:row>
          <xdr:rowOff>50800</xdr:rowOff>
        </xdr:from>
        <xdr:to>
          <xdr:col>4</xdr:col>
          <xdr:colOff>146050</xdr:colOff>
          <xdr:row>28</xdr:row>
          <xdr:rowOff>139700</xdr:rowOff>
        </xdr:to>
        <xdr:sp macro="" textlink="">
          <xdr:nvSpPr>
            <xdr:cNvPr id="4182" name="Check Box 86" hidden="1">
              <a:extLst>
                <a:ext uri="{63B3BB69-23CF-44E3-9099-C40C66FF867C}">
                  <a14:compatExt spid="_x0000_s4182"/>
                </a:ext>
                <a:ext uri="{FF2B5EF4-FFF2-40B4-BE49-F238E27FC236}">
                  <a16:creationId xmlns:a16="http://schemas.microsoft.com/office/drawing/2014/main" id="{00000000-0008-0000-0600-00005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29</xdr:row>
          <xdr:rowOff>50800</xdr:rowOff>
        </xdr:from>
        <xdr:to>
          <xdr:col>4</xdr:col>
          <xdr:colOff>146050</xdr:colOff>
          <xdr:row>29</xdr:row>
          <xdr:rowOff>139700</xdr:rowOff>
        </xdr:to>
        <xdr:sp macro="" textlink="">
          <xdr:nvSpPr>
            <xdr:cNvPr id="4183" name="Check Box 87" hidden="1">
              <a:extLst>
                <a:ext uri="{63B3BB69-23CF-44E3-9099-C40C66FF867C}">
                  <a14:compatExt spid="_x0000_s4183"/>
                </a:ext>
                <a:ext uri="{FF2B5EF4-FFF2-40B4-BE49-F238E27FC236}">
                  <a16:creationId xmlns:a16="http://schemas.microsoft.com/office/drawing/2014/main" id="{00000000-0008-0000-0600-00005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30</xdr:row>
          <xdr:rowOff>50800</xdr:rowOff>
        </xdr:from>
        <xdr:to>
          <xdr:col>4</xdr:col>
          <xdr:colOff>146050</xdr:colOff>
          <xdr:row>30</xdr:row>
          <xdr:rowOff>139700</xdr:rowOff>
        </xdr:to>
        <xdr:sp macro="" textlink="">
          <xdr:nvSpPr>
            <xdr:cNvPr id="4184" name="Check Box 88" hidden="1">
              <a:extLst>
                <a:ext uri="{63B3BB69-23CF-44E3-9099-C40C66FF867C}">
                  <a14:compatExt spid="_x0000_s4184"/>
                </a:ext>
                <a:ext uri="{FF2B5EF4-FFF2-40B4-BE49-F238E27FC236}">
                  <a16:creationId xmlns:a16="http://schemas.microsoft.com/office/drawing/2014/main" id="{00000000-0008-0000-0600-00005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31</xdr:row>
          <xdr:rowOff>50800</xdr:rowOff>
        </xdr:from>
        <xdr:to>
          <xdr:col>4</xdr:col>
          <xdr:colOff>146050</xdr:colOff>
          <xdr:row>31</xdr:row>
          <xdr:rowOff>139700</xdr:rowOff>
        </xdr:to>
        <xdr:sp macro="" textlink="">
          <xdr:nvSpPr>
            <xdr:cNvPr id="4185" name="Check Box 89" hidden="1">
              <a:extLst>
                <a:ext uri="{63B3BB69-23CF-44E3-9099-C40C66FF867C}">
                  <a14:compatExt spid="_x0000_s4185"/>
                </a:ext>
                <a:ext uri="{FF2B5EF4-FFF2-40B4-BE49-F238E27FC236}">
                  <a16:creationId xmlns:a16="http://schemas.microsoft.com/office/drawing/2014/main" id="{00000000-0008-0000-0600-00005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32</xdr:row>
          <xdr:rowOff>50800</xdr:rowOff>
        </xdr:from>
        <xdr:to>
          <xdr:col>4</xdr:col>
          <xdr:colOff>146050</xdr:colOff>
          <xdr:row>32</xdr:row>
          <xdr:rowOff>139700</xdr:rowOff>
        </xdr:to>
        <xdr:sp macro="" textlink="">
          <xdr:nvSpPr>
            <xdr:cNvPr id="4186" name="Check Box 90" hidden="1">
              <a:extLst>
                <a:ext uri="{63B3BB69-23CF-44E3-9099-C40C66FF867C}">
                  <a14:compatExt spid="_x0000_s4186"/>
                </a:ext>
                <a:ext uri="{FF2B5EF4-FFF2-40B4-BE49-F238E27FC236}">
                  <a16:creationId xmlns:a16="http://schemas.microsoft.com/office/drawing/2014/main" id="{00000000-0008-0000-0600-00005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33</xdr:row>
          <xdr:rowOff>50800</xdr:rowOff>
        </xdr:from>
        <xdr:to>
          <xdr:col>4</xdr:col>
          <xdr:colOff>146050</xdr:colOff>
          <xdr:row>33</xdr:row>
          <xdr:rowOff>139700</xdr:rowOff>
        </xdr:to>
        <xdr:sp macro="" textlink="">
          <xdr:nvSpPr>
            <xdr:cNvPr id="4187" name="Check Box 91" hidden="1">
              <a:extLst>
                <a:ext uri="{63B3BB69-23CF-44E3-9099-C40C66FF867C}">
                  <a14:compatExt spid="_x0000_s4187"/>
                </a:ext>
                <a:ext uri="{FF2B5EF4-FFF2-40B4-BE49-F238E27FC236}">
                  <a16:creationId xmlns:a16="http://schemas.microsoft.com/office/drawing/2014/main" id="{00000000-0008-0000-0600-00005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34</xdr:row>
          <xdr:rowOff>50800</xdr:rowOff>
        </xdr:from>
        <xdr:to>
          <xdr:col>4</xdr:col>
          <xdr:colOff>146050</xdr:colOff>
          <xdr:row>34</xdr:row>
          <xdr:rowOff>139700</xdr:rowOff>
        </xdr:to>
        <xdr:sp macro="" textlink="">
          <xdr:nvSpPr>
            <xdr:cNvPr id="4188" name="Check Box 92" hidden="1">
              <a:extLst>
                <a:ext uri="{63B3BB69-23CF-44E3-9099-C40C66FF867C}">
                  <a14:compatExt spid="_x0000_s4188"/>
                </a:ext>
                <a:ext uri="{FF2B5EF4-FFF2-40B4-BE49-F238E27FC236}">
                  <a16:creationId xmlns:a16="http://schemas.microsoft.com/office/drawing/2014/main" id="{00000000-0008-0000-0600-00005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35</xdr:row>
          <xdr:rowOff>50800</xdr:rowOff>
        </xdr:from>
        <xdr:to>
          <xdr:col>4</xdr:col>
          <xdr:colOff>146050</xdr:colOff>
          <xdr:row>35</xdr:row>
          <xdr:rowOff>139700</xdr:rowOff>
        </xdr:to>
        <xdr:sp macro="" textlink="">
          <xdr:nvSpPr>
            <xdr:cNvPr id="4189" name="Check Box 93" hidden="1">
              <a:extLst>
                <a:ext uri="{63B3BB69-23CF-44E3-9099-C40C66FF867C}">
                  <a14:compatExt spid="_x0000_s4189"/>
                </a:ext>
                <a:ext uri="{FF2B5EF4-FFF2-40B4-BE49-F238E27FC236}">
                  <a16:creationId xmlns:a16="http://schemas.microsoft.com/office/drawing/2014/main" id="{00000000-0008-0000-0600-00005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36</xdr:row>
          <xdr:rowOff>50800</xdr:rowOff>
        </xdr:from>
        <xdr:to>
          <xdr:col>4</xdr:col>
          <xdr:colOff>146050</xdr:colOff>
          <xdr:row>36</xdr:row>
          <xdr:rowOff>139700</xdr:rowOff>
        </xdr:to>
        <xdr:sp macro="" textlink="">
          <xdr:nvSpPr>
            <xdr:cNvPr id="4190" name="Check Box 94" hidden="1">
              <a:extLst>
                <a:ext uri="{63B3BB69-23CF-44E3-9099-C40C66FF867C}">
                  <a14:compatExt spid="_x0000_s4190"/>
                </a:ext>
                <a:ext uri="{FF2B5EF4-FFF2-40B4-BE49-F238E27FC236}">
                  <a16:creationId xmlns:a16="http://schemas.microsoft.com/office/drawing/2014/main" id="{00000000-0008-0000-0600-00005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37</xdr:row>
          <xdr:rowOff>50800</xdr:rowOff>
        </xdr:from>
        <xdr:to>
          <xdr:col>4</xdr:col>
          <xdr:colOff>146050</xdr:colOff>
          <xdr:row>37</xdr:row>
          <xdr:rowOff>139700</xdr:rowOff>
        </xdr:to>
        <xdr:sp macro="" textlink="">
          <xdr:nvSpPr>
            <xdr:cNvPr id="4191" name="Check Box 95" hidden="1">
              <a:extLst>
                <a:ext uri="{63B3BB69-23CF-44E3-9099-C40C66FF867C}">
                  <a14:compatExt spid="_x0000_s4191"/>
                </a:ext>
                <a:ext uri="{FF2B5EF4-FFF2-40B4-BE49-F238E27FC236}">
                  <a16:creationId xmlns:a16="http://schemas.microsoft.com/office/drawing/2014/main" id="{00000000-0008-0000-0600-00005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38</xdr:row>
          <xdr:rowOff>50800</xdr:rowOff>
        </xdr:from>
        <xdr:to>
          <xdr:col>4</xdr:col>
          <xdr:colOff>146050</xdr:colOff>
          <xdr:row>38</xdr:row>
          <xdr:rowOff>139700</xdr:rowOff>
        </xdr:to>
        <xdr:sp macro="" textlink="">
          <xdr:nvSpPr>
            <xdr:cNvPr id="4192" name="Check Box 96" hidden="1">
              <a:extLst>
                <a:ext uri="{63B3BB69-23CF-44E3-9099-C40C66FF867C}">
                  <a14:compatExt spid="_x0000_s4192"/>
                </a:ext>
                <a:ext uri="{FF2B5EF4-FFF2-40B4-BE49-F238E27FC236}">
                  <a16:creationId xmlns:a16="http://schemas.microsoft.com/office/drawing/2014/main" id="{00000000-0008-0000-0600-00006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39</xdr:row>
          <xdr:rowOff>50800</xdr:rowOff>
        </xdr:from>
        <xdr:to>
          <xdr:col>4</xdr:col>
          <xdr:colOff>146050</xdr:colOff>
          <xdr:row>39</xdr:row>
          <xdr:rowOff>139700</xdr:rowOff>
        </xdr:to>
        <xdr:sp macro="" textlink="">
          <xdr:nvSpPr>
            <xdr:cNvPr id="4193" name="Check Box 97" hidden="1">
              <a:extLst>
                <a:ext uri="{63B3BB69-23CF-44E3-9099-C40C66FF867C}">
                  <a14:compatExt spid="_x0000_s4193"/>
                </a:ext>
                <a:ext uri="{FF2B5EF4-FFF2-40B4-BE49-F238E27FC236}">
                  <a16:creationId xmlns:a16="http://schemas.microsoft.com/office/drawing/2014/main" id="{00000000-0008-0000-0600-00006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40</xdr:row>
          <xdr:rowOff>50800</xdr:rowOff>
        </xdr:from>
        <xdr:to>
          <xdr:col>4</xdr:col>
          <xdr:colOff>146050</xdr:colOff>
          <xdr:row>40</xdr:row>
          <xdr:rowOff>139700</xdr:rowOff>
        </xdr:to>
        <xdr:sp macro="" textlink="">
          <xdr:nvSpPr>
            <xdr:cNvPr id="4194" name="Check Box 98" hidden="1">
              <a:extLst>
                <a:ext uri="{63B3BB69-23CF-44E3-9099-C40C66FF867C}">
                  <a14:compatExt spid="_x0000_s4194"/>
                </a:ext>
                <a:ext uri="{FF2B5EF4-FFF2-40B4-BE49-F238E27FC236}">
                  <a16:creationId xmlns:a16="http://schemas.microsoft.com/office/drawing/2014/main" id="{00000000-0008-0000-0600-00006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41</xdr:row>
          <xdr:rowOff>50800</xdr:rowOff>
        </xdr:from>
        <xdr:to>
          <xdr:col>4</xdr:col>
          <xdr:colOff>146050</xdr:colOff>
          <xdr:row>41</xdr:row>
          <xdr:rowOff>139700</xdr:rowOff>
        </xdr:to>
        <xdr:sp macro="" textlink="">
          <xdr:nvSpPr>
            <xdr:cNvPr id="4195" name="Check Box 99" hidden="1">
              <a:extLst>
                <a:ext uri="{63B3BB69-23CF-44E3-9099-C40C66FF867C}">
                  <a14:compatExt spid="_x0000_s4195"/>
                </a:ext>
                <a:ext uri="{FF2B5EF4-FFF2-40B4-BE49-F238E27FC236}">
                  <a16:creationId xmlns:a16="http://schemas.microsoft.com/office/drawing/2014/main" id="{00000000-0008-0000-0600-00006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42</xdr:row>
          <xdr:rowOff>50800</xdr:rowOff>
        </xdr:from>
        <xdr:to>
          <xdr:col>4</xdr:col>
          <xdr:colOff>146050</xdr:colOff>
          <xdr:row>42</xdr:row>
          <xdr:rowOff>139700</xdr:rowOff>
        </xdr:to>
        <xdr:sp macro="" textlink="">
          <xdr:nvSpPr>
            <xdr:cNvPr id="4196" name="Check Box 100" hidden="1">
              <a:extLst>
                <a:ext uri="{63B3BB69-23CF-44E3-9099-C40C66FF867C}">
                  <a14:compatExt spid="_x0000_s4196"/>
                </a:ext>
                <a:ext uri="{FF2B5EF4-FFF2-40B4-BE49-F238E27FC236}">
                  <a16:creationId xmlns:a16="http://schemas.microsoft.com/office/drawing/2014/main" id="{00000000-0008-0000-0600-00006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43</xdr:row>
          <xdr:rowOff>50800</xdr:rowOff>
        </xdr:from>
        <xdr:to>
          <xdr:col>4</xdr:col>
          <xdr:colOff>146050</xdr:colOff>
          <xdr:row>43</xdr:row>
          <xdr:rowOff>139700</xdr:rowOff>
        </xdr:to>
        <xdr:sp macro="" textlink="">
          <xdr:nvSpPr>
            <xdr:cNvPr id="4197" name="Check Box 101" hidden="1">
              <a:extLst>
                <a:ext uri="{63B3BB69-23CF-44E3-9099-C40C66FF867C}">
                  <a14:compatExt spid="_x0000_s4197"/>
                </a:ext>
                <a:ext uri="{FF2B5EF4-FFF2-40B4-BE49-F238E27FC236}">
                  <a16:creationId xmlns:a16="http://schemas.microsoft.com/office/drawing/2014/main" id="{00000000-0008-0000-0600-00006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44</xdr:row>
          <xdr:rowOff>50800</xdr:rowOff>
        </xdr:from>
        <xdr:to>
          <xdr:col>4</xdr:col>
          <xdr:colOff>146050</xdr:colOff>
          <xdr:row>44</xdr:row>
          <xdr:rowOff>139700</xdr:rowOff>
        </xdr:to>
        <xdr:sp macro="" textlink="">
          <xdr:nvSpPr>
            <xdr:cNvPr id="4198" name="Check Box 102" hidden="1">
              <a:extLst>
                <a:ext uri="{63B3BB69-23CF-44E3-9099-C40C66FF867C}">
                  <a14:compatExt spid="_x0000_s4198"/>
                </a:ext>
                <a:ext uri="{FF2B5EF4-FFF2-40B4-BE49-F238E27FC236}">
                  <a16:creationId xmlns:a16="http://schemas.microsoft.com/office/drawing/2014/main" id="{00000000-0008-0000-0600-00006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45</xdr:row>
          <xdr:rowOff>50800</xdr:rowOff>
        </xdr:from>
        <xdr:to>
          <xdr:col>4</xdr:col>
          <xdr:colOff>146050</xdr:colOff>
          <xdr:row>45</xdr:row>
          <xdr:rowOff>139700</xdr:rowOff>
        </xdr:to>
        <xdr:sp macro="" textlink="">
          <xdr:nvSpPr>
            <xdr:cNvPr id="4199" name="Check Box 103" hidden="1">
              <a:extLst>
                <a:ext uri="{63B3BB69-23CF-44E3-9099-C40C66FF867C}">
                  <a14:compatExt spid="_x0000_s4199"/>
                </a:ext>
                <a:ext uri="{FF2B5EF4-FFF2-40B4-BE49-F238E27FC236}">
                  <a16:creationId xmlns:a16="http://schemas.microsoft.com/office/drawing/2014/main" id="{00000000-0008-0000-0600-00006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46</xdr:row>
          <xdr:rowOff>50800</xdr:rowOff>
        </xdr:from>
        <xdr:to>
          <xdr:col>4</xdr:col>
          <xdr:colOff>146050</xdr:colOff>
          <xdr:row>46</xdr:row>
          <xdr:rowOff>139700</xdr:rowOff>
        </xdr:to>
        <xdr:sp macro="" textlink="">
          <xdr:nvSpPr>
            <xdr:cNvPr id="4200" name="Check Box 104" hidden="1">
              <a:extLst>
                <a:ext uri="{63B3BB69-23CF-44E3-9099-C40C66FF867C}">
                  <a14:compatExt spid="_x0000_s4200"/>
                </a:ext>
                <a:ext uri="{FF2B5EF4-FFF2-40B4-BE49-F238E27FC236}">
                  <a16:creationId xmlns:a16="http://schemas.microsoft.com/office/drawing/2014/main" id="{00000000-0008-0000-0600-00006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47</xdr:row>
          <xdr:rowOff>50800</xdr:rowOff>
        </xdr:from>
        <xdr:to>
          <xdr:col>4</xdr:col>
          <xdr:colOff>146050</xdr:colOff>
          <xdr:row>47</xdr:row>
          <xdr:rowOff>139700</xdr:rowOff>
        </xdr:to>
        <xdr:sp macro="" textlink="">
          <xdr:nvSpPr>
            <xdr:cNvPr id="4201" name="Check Box 105" hidden="1">
              <a:extLst>
                <a:ext uri="{63B3BB69-23CF-44E3-9099-C40C66FF867C}">
                  <a14:compatExt spid="_x0000_s4201"/>
                </a:ext>
                <a:ext uri="{FF2B5EF4-FFF2-40B4-BE49-F238E27FC236}">
                  <a16:creationId xmlns:a16="http://schemas.microsoft.com/office/drawing/2014/main" id="{00000000-0008-0000-0600-00006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48</xdr:row>
          <xdr:rowOff>50800</xdr:rowOff>
        </xdr:from>
        <xdr:to>
          <xdr:col>4</xdr:col>
          <xdr:colOff>146050</xdr:colOff>
          <xdr:row>48</xdr:row>
          <xdr:rowOff>139700</xdr:rowOff>
        </xdr:to>
        <xdr:sp macro="" textlink="">
          <xdr:nvSpPr>
            <xdr:cNvPr id="4202" name="Check Box 106" hidden="1">
              <a:extLst>
                <a:ext uri="{63B3BB69-23CF-44E3-9099-C40C66FF867C}">
                  <a14:compatExt spid="_x0000_s4202"/>
                </a:ext>
                <a:ext uri="{FF2B5EF4-FFF2-40B4-BE49-F238E27FC236}">
                  <a16:creationId xmlns:a16="http://schemas.microsoft.com/office/drawing/2014/main" id="{00000000-0008-0000-0600-00006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49</xdr:row>
          <xdr:rowOff>50800</xdr:rowOff>
        </xdr:from>
        <xdr:to>
          <xdr:col>4</xdr:col>
          <xdr:colOff>146050</xdr:colOff>
          <xdr:row>49</xdr:row>
          <xdr:rowOff>139700</xdr:rowOff>
        </xdr:to>
        <xdr:sp macro="" textlink="">
          <xdr:nvSpPr>
            <xdr:cNvPr id="4203" name="Check Box 107" hidden="1">
              <a:extLst>
                <a:ext uri="{63B3BB69-23CF-44E3-9099-C40C66FF867C}">
                  <a14:compatExt spid="_x0000_s4203"/>
                </a:ext>
                <a:ext uri="{FF2B5EF4-FFF2-40B4-BE49-F238E27FC236}">
                  <a16:creationId xmlns:a16="http://schemas.microsoft.com/office/drawing/2014/main" id="{00000000-0008-0000-0600-00006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50</xdr:row>
          <xdr:rowOff>50800</xdr:rowOff>
        </xdr:from>
        <xdr:to>
          <xdr:col>4</xdr:col>
          <xdr:colOff>146050</xdr:colOff>
          <xdr:row>50</xdr:row>
          <xdr:rowOff>139700</xdr:rowOff>
        </xdr:to>
        <xdr:sp macro="" textlink="">
          <xdr:nvSpPr>
            <xdr:cNvPr id="4204" name="Check Box 108" hidden="1">
              <a:extLst>
                <a:ext uri="{63B3BB69-23CF-44E3-9099-C40C66FF867C}">
                  <a14:compatExt spid="_x0000_s4204"/>
                </a:ext>
                <a:ext uri="{FF2B5EF4-FFF2-40B4-BE49-F238E27FC236}">
                  <a16:creationId xmlns:a16="http://schemas.microsoft.com/office/drawing/2014/main" id="{00000000-0008-0000-0600-00006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51</xdr:row>
          <xdr:rowOff>50800</xdr:rowOff>
        </xdr:from>
        <xdr:to>
          <xdr:col>4</xdr:col>
          <xdr:colOff>146050</xdr:colOff>
          <xdr:row>51</xdr:row>
          <xdr:rowOff>139700</xdr:rowOff>
        </xdr:to>
        <xdr:sp macro="" textlink="">
          <xdr:nvSpPr>
            <xdr:cNvPr id="4205" name="Check Box 109" hidden="1">
              <a:extLst>
                <a:ext uri="{63B3BB69-23CF-44E3-9099-C40C66FF867C}">
                  <a14:compatExt spid="_x0000_s4205"/>
                </a:ext>
                <a:ext uri="{FF2B5EF4-FFF2-40B4-BE49-F238E27FC236}">
                  <a16:creationId xmlns:a16="http://schemas.microsoft.com/office/drawing/2014/main" id="{00000000-0008-0000-0600-00006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52</xdr:row>
          <xdr:rowOff>50800</xdr:rowOff>
        </xdr:from>
        <xdr:to>
          <xdr:col>4</xdr:col>
          <xdr:colOff>146050</xdr:colOff>
          <xdr:row>52</xdr:row>
          <xdr:rowOff>139700</xdr:rowOff>
        </xdr:to>
        <xdr:sp macro="" textlink="">
          <xdr:nvSpPr>
            <xdr:cNvPr id="4206" name="Check Box 110" hidden="1">
              <a:extLst>
                <a:ext uri="{63B3BB69-23CF-44E3-9099-C40C66FF867C}">
                  <a14:compatExt spid="_x0000_s4206"/>
                </a:ext>
                <a:ext uri="{FF2B5EF4-FFF2-40B4-BE49-F238E27FC236}">
                  <a16:creationId xmlns:a16="http://schemas.microsoft.com/office/drawing/2014/main" id="{00000000-0008-0000-0600-00006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53</xdr:row>
          <xdr:rowOff>50800</xdr:rowOff>
        </xdr:from>
        <xdr:to>
          <xdr:col>4</xdr:col>
          <xdr:colOff>146050</xdr:colOff>
          <xdr:row>53</xdr:row>
          <xdr:rowOff>139700</xdr:rowOff>
        </xdr:to>
        <xdr:sp macro="" textlink="">
          <xdr:nvSpPr>
            <xdr:cNvPr id="4207" name="Check Box 111" hidden="1">
              <a:extLst>
                <a:ext uri="{63B3BB69-23CF-44E3-9099-C40C66FF867C}">
                  <a14:compatExt spid="_x0000_s4207"/>
                </a:ext>
                <a:ext uri="{FF2B5EF4-FFF2-40B4-BE49-F238E27FC236}">
                  <a16:creationId xmlns:a16="http://schemas.microsoft.com/office/drawing/2014/main" id="{00000000-0008-0000-0600-00006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xdr:twoCellAnchor>
    <xdr:from>
      <xdr:col>4</xdr:col>
      <xdr:colOff>593724</xdr:colOff>
      <xdr:row>3</xdr:row>
      <xdr:rowOff>38100</xdr:rowOff>
    </xdr:from>
    <xdr:to>
      <xdr:col>13</xdr:col>
      <xdr:colOff>44449</xdr:colOff>
      <xdr:row>20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89015F-EFDB-BFA4-37DC-37D0FD7CC2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</xdr:row>
          <xdr:rowOff>50800</xdr:rowOff>
        </xdr:from>
        <xdr:to>
          <xdr:col>4</xdr:col>
          <xdr:colOff>146050</xdr:colOff>
          <xdr:row>2</xdr:row>
          <xdr:rowOff>139700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7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61</xdr:row>
          <xdr:rowOff>50800</xdr:rowOff>
        </xdr:from>
        <xdr:to>
          <xdr:col>4</xdr:col>
          <xdr:colOff>146050</xdr:colOff>
          <xdr:row>61</xdr:row>
          <xdr:rowOff>139700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7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62</xdr:row>
          <xdr:rowOff>50800</xdr:rowOff>
        </xdr:from>
        <xdr:to>
          <xdr:col>4</xdr:col>
          <xdr:colOff>146050</xdr:colOff>
          <xdr:row>62</xdr:row>
          <xdr:rowOff>139700</xdr:rowOff>
        </xdr:to>
        <xdr:sp macro="" textlink="">
          <xdr:nvSpPr>
            <xdr:cNvPr id="5123" name="Check Box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7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63</xdr:row>
          <xdr:rowOff>50800</xdr:rowOff>
        </xdr:from>
        <xdr:to>
          <xdr:col>4</xdr:col>
          <xdr:colOff>146050</xdr:colOff>
          <xdr:row>63</xdr:row>
          <xdr:rowOff>139700</xdr:rowOff>
        </xdr:to>
        <xdr:sp macro="" textlink="">
          <xdr:nvSpPr>
            <xdr:cNvPr id="5124" name="Check Box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7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64</xdr:row>
          <xdr:rowOff>50800</xdr:rowOff>
        </xdr:from>
        <xdr:to>
          <xdr:col>4</xdr:col>
          <xdr:colOff>146050</xdr:colOff>
          <xdr:row>64</xdr:row>
          <xdr:rowOff>139700</xdr:rowOff>
        </xdr:to>
        <xdr:sp macro="" textlink="">
          <xdr:nvSpPr>
            <xdr:cNvPr id="5125" name="Check Box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7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</xdr:row>
          <xdr:rowOff>50800</xdr:rowOff>
        </xdr:from>
        <xdr:to>
          <xdr:col>4</xdr:col>
          <xdr:colOff>146050</xdr:colOff>
          <xdr:row>3</xdr:row>
          <xdr:rowOff>139700</xdr:rowOff>
        </xdr:to>
        <xdr:sp macro="" textlink="">
          <xdr:nvSpPr>
            <xdr:cNvPr id="5126" name="Check Box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7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</xdr:row>
          <xdr:rowOff>50800</xdr:rowOff>
        </xdr:from>
        <xdr:to>
          <xdr:col>4</xdr:col>
          <xdr:colOff>146050</xdr:colOff>
          <xdr:row>4</xdr:row>
          <xdr:rowOff>139700</xdr:rowOff>
        </xdr:to>
        <xdr:sp macro="" textlink="">
          <xdr:nvSpPr>
            <xdr:cNvPr id="5127" name="Check Box 7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7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</xdr:row>
          <xdr:rowOff>50800</xdr:rowOff>
        </xdr:from>
        <xdr:to>
          <xdr:col>4</xdr:col>
          <xdr:colOff>146050</xdr:colOff>
          <xdr:row>5</xdr:row>
          <xdr:rowOff>139700</xdr:rowOff>
        </xdr:to>
        <xdr:sp macro="" textlink="">
          <xdr:nvSpPr>
            <xdr:cNvPr id="5128" name="Check Box 8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7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</xdr:row>
          <xdr:rowOff>50800</xdr:rowOff>
        </xdr:from>
        <xdr:to>
          <xdr:col>4</xdr:col>
          <xdr:colOff>146050</xdr:colOff>
          <xdr:row>6</xdr:row>
          <xdr:rowOff>139700</xdr:rowOff>
        </xdr:to>
        <xdr:sp macro="" textlink="">
          <xdr:nvSpPr>
            <xdr:cNvPr id="5129" name="Check Box 9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7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7</xdr:row>
          <xdr:rowOff>50800</xdr:rowOff>
        </xdr:from>
        <xdr:to>
          <xdr:col>4</xdr:col>
          <xdr:colOff>146050</xdr:colOff>
          <xdr:row>7</xdr:row>
          <xdr:rowOff>139700</xdr:rowOff>
        </xdr:to>
        <xdr:sp macro="" textlink="">
          <xdr:nvSpPr>
            <xdr:cNvPr id="5130" name="Check Box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7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8</xdr:row>
          <xdr:rowOff>50800</xdr:rowOff>
        </xdr:from>
        <xdr:to>
          <xdr:col>4</xdr:col>
          <xdr:colOff>146050</xdr:colOff>
          <xdr:row>8</xdr:row>
          <xdr:rowOff>139700</xdr:rowOff>
        </xdr:to>
        <xdr:sp macro="" textlink="">
          <xdr:nvSpPr>
            <xdr:cNvPr id="5131" name="Check Box 11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7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9</xdr:row>
          <xdr:rowOff>50800</xdr:rowOff>
        </xdr:from>
        <xdr:to>
          <xdr:col>4</xdr:col>
          <xdr:colOff>146050</xdr:colOff>
          <xdr:row>9</xdr:row>
          <xdr:rowOff>139700</xdr:rowOff>
        </xdr:to>
        <xdr:sp macro="" textlink="">
          <xdr:nvSpPr>
            <xdr:cNvPr id="5132" name="Check Box 12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7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10</xdr:row>
          <xdr:rowOff>50800</xdr:rowOff>
        </xdr:from>
        <xdr:to>
          <xdr:col>4</xdr:col>
          <xdr:colOff>146050</xdr:colOff>
          <xdr:row>10</xdr:row>
          <xdr:rowOff>139700</xdr:rowOff>
        </xdr:to>
        <xdr:sp macro="" textlink="">
          <xdr:nvSpPr>
            <xdr:cNvPr id="5133" name="Check Box 13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7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11</xdr:row>
          <xdr:rowOff>50800</xdr:rowOff>
        </xdr:from>
        <xdr:to>
          <xdr:col>4</xdr:col>
          <xdr:colOff>146050</xdr:colOff>
          <xdr:row>11</xdr:row>
          <xdr:rowOff>139700</xdr:rowOff>
        </xdr:to>
        <xdr:sp macro="" textlink="">
          <xdr:nvSpPr>
            <xdr:cNvPr id="5134" name="Check Box 14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7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12</xdr:row>
          <xdr:rowOff>50800</xdr:rowOff>
        </xdr:from>
        <xdr:to>
          <xdr:col>4</xdr:col>
          <xdr:colOff>146050</xdr:colOff>
          <xdr:row>12</xdr:row>
          <xdr:rowOff>139700</xdr:rowOff>
        </xdr:to>
        <xdr:sp macro="" textlink="">
          <xdr:nvSpPr>
            <xdr:cNvPr id="5135" name="Check Box 15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7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13</xdr:row>
          <xdr:rowOff>50800</xdr:rowOff>
        </xdr:from>
        <xdr:to>
          <xdr:col>4</xdr:col>
          <xdr:colOff>146050</xdr:colOff>
          <xdr:row>13</xdr:row>
          <xdr:rowOff>139700</xdr:rowOff>
        </xdr:to>
        <xdr:sp macro="" textlink="">
          <xdr:nvSpPr>
            <xdr:cNvPr id="5136" name="Check Box 16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7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14</xdr:row>
          <xdr:rowOff>50800</xdr:rowOff>
        </xdr:from>
        <xdr:to>
          <xdr:col>4</xdr:col>
          <xdr:colOff>146050</xdr:colOff>
          <xdr:row>14</xdr:row>
          <xdr:rowOff>139700</xdr:rowOff>
        </xdr:to>
        <xdr:sp macro="" textlink="">
          <xdr:nvSpPr>
            <xdr:cNvPr id="5137" name="Check Box 17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7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15</xdr:row>
          <xdr:rowOff>50800</xdr:rowOff>
        </xdr:from>
        <xdr:to>
          <xdr:col>4</xdr:col>
          <xdr:colOff>146050</xdr:colOff>
          <xdr:row>15</xdr:row>
          <xdr:rowOff>139700</xdr:rowOff>
        </xdr:to>
        <xdr:sp macro="" textlink="">
          <xdr:nvSpPr>
            <xdr:cNvPr id="5138" name="Check Box 18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7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16</xdr:row>
          <xdr:rowOff>50800</xdr:rowOff>
        </xdr:from>
        <xdr:to>
          <xdr:col>4</xdr:col>
          <xdr:colOff>146050</xdr:colOff>
          <xdr:row>16</xdr:row>
          <xdr:rowOff>139700</xdr:rowOff>
        </xdr:to>
        <xdr:sp macro="" textlink="">
          <xdr:nvSpPr>
            <xdr:cNvPr id="5139" name="Check Box 19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7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17</xdr:row>
          <xdr:rowOff>50800</xdr:rowOff>
        </xdr:from>
        <xdr:to>
          <xdr:col>4</xdr:col>
          <xdr:colOff>146050</xdr:colOff>
          <xdr:row>17</xdr:row>
          <xdr:rowOff>139700</xdr:rowOff>
        </xdr:to>
        <xdr:sp macro="" textlink="">
          <xdr:nvSpPr>
            <xdr:cNvPr id="5140" name="Check Box 20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7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18</xdr:row>
          <xdr:rowOff>50800</xdr:rowOff>
        </xdr:from>
        <xdr:to>
          <xdr:col>4</xdr:col>
          <xdr:colOff>146050</xdr:colOff>
          <xdr:row>18</xdr:row>
          <xdr:rowOff>139700</xdr:rowOff>
        </xdr:to>
        <xdr:sp macro="" textlink="">
          <xdr:nvSpPr>
            <xdr:cNvPr id="5141" name="Check Box 21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7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19</xdr:row>
          <xdr:rowOff>50800</xdr:rowOff>
        </xdr:from>
        <xdr:to>
          <xdr:col>4</xdr:col>
          <xdr:colOff>146050</xdr:colOff>
          <xdr:row>19</xdr:row>
          <xdr:rowOff>139700</xdr:rowOff>
        </xdr:to>
        <xdr:sp macro="" textlink="">
          <xdr:nvSpPr>
            <xdr:cNvPr id="5142" name="Check Box 22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7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20</xdr:row>
          <xdr:rowOff>50800</xdr:rowOff>
        </xdr:from>
        <xdr:to>
          <xdr:col>4</xdr:col>
          <xdr:colOff>146050</xdr:colOff>
          <xdr:row>20</xdr:row>
          <xdr:rowOff>139700</xdr:rowOff>
        </xdr:to>
        <xdr:sp macro="" textlink="">
          <xdr:nvSpPr>
            <xdr:cNvPr id="5143" name="Check Box 23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7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21</xdr:row>
          <xdr:rowOff>50800</xdr:rowOff>
        </xdr:from>
        <xdr:to>
          <xdr:col>4</xdr:col>
          <xdr:colOff>146050</xdr:colOff>
          <xdr:row>21</xdr:row>
          <xdr:rowOff>139700</xdr:rowOff>
        </xdr:to>
        <xdr:sp macro="" textlink="">
          <xdr:nvSpPr>
            <xdr:cNvPr id="5144" name="Check Box 24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7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22</xdr:row>
          <xdr:rowOff>50800</xdr:rowOff>
        </xdr:from>
        <xdr:to>
          <xdr:col>4</xdr:col>
          <xdr:colOff>146050</xdr:colOff>
          <xdr:row>22</xdr:row>
          <xdr:rowOff>139700</xdr:rowOff>
        </xdr:to>
        <xdr:sp macro="" textlink="">
          <xdr:nvSpPr>
            <xdr:cNvPr id="5145" name="Check Box 25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7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23</xdr:row>
          <xdr:rowOff>50800</xdr:rowOff>
        </xdr:from>
        <xdr:to>
          <xdr:col>4</xdr:col>
          <xdr:colOff>146050</xdr:colOff>
          <xdr:row>23</xdr:row>
          <xdr:rowOff>139700</xdr:rowOff>
        </xdr:to>
        <xdr:sp macro="" textlink="">
          <xdr:nvSpPr>
            <xdr:cNvPr id="5146" name="Check Box 26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700-00001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24</xdr:row>
          <xdr:rowOff>50800</xdr:rowOff>
        </xdr:from>
        <xdr:to>
          <xdr:col>4</xdr:col>
          <xdr:colOff>146050</xdr:colOff>
          <xdr:row>24</xdr:row>
          <xdr:rowOff>139700</xdr:rowOff>
        </xdr:to>
        <xdr:sp macro="" textlink="">
          <xdr:nvSpPr>
            <xdr:cNvPr id="5147" name="Check Box 27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00000000-0008-0000-0700-00001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25</xdr:row>
          <xdr:rowOff>50800</xdr:rowOff>
        </xdr:from>
        <xdr:to>
          <xdr:col>4</xdr:col>
          <xdr:colOff>146050</xdr:colOff>
          <xdr:row>25</xdr:row>
          <xdr:rowOff>139700</xdr:rowOff>
        </xdr:to>
        <xdr:sp macro="" textlink="">
          <xdr:nvSpPr>
            <xdr:cNvPr id="5148" name="Check Box 28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00000000-0008-0000-0700-00001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26</xdr:row>
          <xdr:rowOff>50800</xdr:rowOff>
        </xdr:from>
        <xdr:to>
          <xdr:col>4</xdr:col>
          <xdr:colOff>146050</xdr:colOff>
          <xdr:row>26</xdr:row>
          <xdr:rowOff>139700</xdr:rowOff>
        </xdr:to>
        <xdr:sp macro="" textlink="">
          <xdr:nvSpPr>
            <xdr:cNvPr id="5149" name="Check Box 29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00000000-0008-0000-0700-00001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27</xdr:row>
          <xdr:rowOff>50800</xdr:rowOff>
        </xdr:from>
        <xdr:to>
          <xdr:col>4</xdr:col>
          <xdr:colOff>146050</xdr:colOff>
          <xdr:row>27</xdr:row>
          <xdr:rowOff>139700</xdr:rowOff>
        </xdr:to>
        <xdr:sp macro="" textlink="">
          <xdr:nvSpPr>
            <xdr:cNvPr id="5150" name="Check Box 30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00000000-0008-0000-0700-00001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28</xdr:row>
          <xdr:rowOff>50800</xdr:rowOff>
        </xdr:from>
        <xdr:to>
          <xdr:col>4</xdr:col>
          <xdr:colOff>146050</xdr:colOff>
          <xdr:row>28</xdr:row>
          <xdr:rowOff>139700</xdr:rowOff>
        </xdr:to>
        <xdr:sp macro="" textlink="">
          <xdr:nvSpPr>
            <xdr:cNvPr id="5151" name="Check Box 31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00000000-0008-0000-0700-00001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29</xdr:row>
          <xdr:rowOff>50800</xdr:rowOff>
        </xdr:from>
        <xdr:to>
          <xdr:col>4</xdr:col>
          <xdr:colOff>146050</xdr:colOff>
          <xdr:row>29</xdr:row>
          <xdr:rowOff>139700</xdr:rowOff>
        </xdr:to>
        <xdr:sp macro="" textlink="">
          <xdr:nvSpPr>
            <xdr:cNvPr id="5152" name="Check Box 32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00000000-0008-0000-0700-00002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30</xdr:row>
          <xdr:rowOff>50800</xdr:rowOff>
        </xdr:from>
        <xdr:to>
          <xdr:col>4</xdr:col>
          <xdr:colOff>146050</xdr:colOff>
          <xdr:row>30</xdr:row>
          <xdr:rowOff>139700</xdr:rowOff>
        </xdr:to>
        <xdr:sp macro="" textlink="">
          <xdr:nvSpPr>
            <xdr:cNvPr id="5153" name="Check Box 33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00000000-0008-0000-0700-00002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31</xdr:row>
          <xdr:rowOff>50800</xdr:rowOff>
        </xdr:from>
        <xdr:to>
          <xdr:col>4</xdr:col>
          <xdr:colOff>146050</xdr:colOff>
          <xdr:row>31</xdr:row>
          <xdr:rowOff>139700</xdr:rowOff>
        </xdr:to>
        <xdr:sp macro="" textlink="">
          <xdr:nvSpPr>
            <xdr:cNvPr id="5154" name="Check Box 34" hidden="1">
              <a:extLst>
                <a:ext uri="{63B3BB69-23CF-44E3-9099-C40C66FF867C}">
                  <a14:compatExt spid="_x0000_s5154"/>
                </a:ext>
                <a:ext uri="{FF2B5EF4-FFF2-40B4-BE49-F238E27FC236}">
                  <a16:creationId xmlns:a16="http://schemas.microsoft.com/office/drawing/2014/main" id="{00000000-0008-0000-0700-00002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32</xdr:row>
          <xdr:rowOff>50800</xdr:rowOff>
        </xdr:from>
        <xdr:to>
          <xdr:col>4</xdr:col>
          <xdr:colOff>146050</xdr:colOff>
          <xdr:row>32</xdr:row>
          <xdr:rowOff>139700</xdr:rowOff>
        </xdr:to>
        <xdr:sp macro="" textlink="">
          <xdr:nvSpPr>
            <xdr:cNvPr id="5155" name="Check Box 35" hidden="1">
              <a:extLst>
                <a:ext uri="{63B3BB69-23CF-44E3-9099-C40C66FF867C}">
                  <a14:compatExt spid="_x0000_s5155"/>
                </a:ext>
                <a:ext uri="{FF2B5EF4-FFF2-40B4-BE49-F238E27FC236}">
                  <a16:creationId xmlns:a16="http://schemas.microsoft.com/office/drawing/2014/main" id="{00000000-0008-0000-0700-00002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33</xdr:row>
          <xdr:rowOff>50800</xdr:rowOff>
        </xdr:from>
        <xdr:to>
          <xdr:col>4</xdr:col>
          <xdr:colOff>146050</xdr:colOff>
          <xdr:row>33</xdr:row>
          <xdr:rowOff>139700</xdr:rowOff>
        </xdr:to>
        <xdr:sp macro="" textlink="">
          <xdr:nvSpPr>
            <xdr:cNvPr id="5156" name="Check Box 36" hidden="1">
              <a:extLst>
                <a:ext uri="{63B3BB69-23CF-44E3-9099-C40C66FF867C}">
                  <a14:compatExt spid="_x0000_s5156"/>
                </a:ext>
                <a:ext uri="{FF2B5EF4-FFF2-40B4-BE49-F238E27FC236}">
                  <a16:creationId xmlns:a16="http://schemas.microsoft.com/office/drawing/2014/main" id="{00000000-0008-0000-0700-00002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34</xdr:row>
          <xdr:rowOff>50800</xdr:rowOff>
        </xdr:from>
        <xdr:to>
          <xdr:col>4</xdr:col>
          <xdr:colOff>146050</xdr:colOff>
          <xdr:row>34</xdr:row>
          <xdr:rowOff>139700</xdr:rowOff>
        </xdr:to>
        <xdr:sp macro="" textlink="">
          <xdr:nvSpPr>
            <xdr:cNvPr id="5157" name="Check Box 37" hidden="1">
              <a:extLst>
                <a:ext uri="{63B3BB69-23CF-44E3-9099-C40C66FF867C}">
                  <a14:compatExt spid="_x0000_s5157"/>
                </a:ext>
                <a:ext uri="{FF2B5EF4-FFF2-40B4-BE49-F238E27FC236}">
                  <a16:creationId xmlns:a16="http://schemas.microsoft.com/office/drawing/2014/main" id="{00000000-0008-0000-0700-00002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35</xdr:row>
          <xdr:rowOff>50800</xdr:rowOff>
        </xdr:from>
        <xdr:to>
          <xdr:col>4</xdr:col>
          <xdr:colOff>146050</xdr:colOff>
          <xdr:row>35</xdr:row>
          <xdr:rowOff>139700</xdr:rowOff>
        </xdr:to>
        <xdr:sp macro="" textlink="">
          <xdr:nvSpPr>
            <xdr:cNvPr id="5158" name="Check Box 38" hidden="1">
              <a:extLst>
                <a:ext uri="{63B3BB69-23CF-44E3-9099-C40C66FF867C}">
                  <a14:compatExt spid="_x0000_s5158"/>
                </a:ext>
                <a:ext uri="{FF2B5EF4-FFF2-40B4-BE49-F238E27FC236}">
                  <a16:creationId xmlns:a16="http://schemas.microsoft.com/office/drawing/2014/main" id="{00000000-0008-0000-0700-00002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36</xdr:row>
          <xdr:rowOff>50800</xdr:rowOff>
        </xdr:from>
        <xdr:to>
          <xdr:col>4</xdr:col>
          <xdr:colOff>146050</xdr:colOff>
          <xdr:row>36</xdr:row>
          <xdr:rowOff>139700</xdr:rowOff>
        </xdr:to>
        <xdr:sp macro="" textlink="">
          <xdr:nvSpPr>
            <xdr:cNvPr id="5159" name="Check Box 39" hidden="1">
              <a:extLst>
                <a:ext uri="{63B3BB69-23CF-44E3-9099-C40C66FF867C}">
                  <a14:compatExt spid="_x0000_s5159"/>
                </a:ext>
                <a:ext uri="{FF2B5EF4-FFF2-40B4-BE49-F238E27FC236}">
                  <a16:creationId xmlns:a16="http://schemas.microsoft.com/office/drawing/2014/main" id="{00000000-0008-0000-0700-00002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37</xdr:row>
          <xdr:rowOff>50800</xdr:rowOff>
        </xdr:from>
        <xdr:to>
          <xdr:col>4</xdr:col>
          <xdr:colOff>146050</xdr:colOff>
          <xdr:row>37</xdr:row>
          <xdr:rowOff>139700</xdr:rowOff>
        </xdr:to>
        <xdr:sp macro="" textlink="">
          <xdr:nvSpPr>
            <xdr:cNvPr id="5160" name="Check Box 40" hidden="1">
              <a:extLst>
                <a:ext uri="{63B3BB69-23CF-44E3-9099-C40C66FF867C}">
                  <a14:compatExt spid="_x0000_s5160"/>
                </a:ext>
                <a:ext uri="{FF2B5EF4-FFF2-40B4-BE49-F238E27FC236}">
                  <a16:creationId xmlns:a16="http://schemas.microsoft.com/office/drawing/2014/main" id="{00000000-0008-0000-0700-00002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38</xdr:row>
          <xdr:rowOff>50800</xdr:rowOff>
        </xdr:from>
        <xdr:to>
          <xdr:col>4</xdr:col>
          <xdr:colOff>146050</xdr:colOff>
          <xdr:row>38</xdr:row>
          <xdr:rowOff>139700</xdr:rowOff>
        </xdr:to>
        <xdr:sp macro="" textlink="">
          <xdr:nvSpPr>
            <xdr:cNvPr id="5161" name="Check Box 41" hidden="1">
              <a:extLst>
                <a:ext uri="{63B3BB69-23CF-44E3-9099-C40C66FF867C}">
                  <a14:compatExt spid="_x0000_s5161"/>
                </a:ext>
                <a:ext uri="{FF2B5EF4-FFF2-40B4-BE49-F238E27FC236}">
                  <a16:creationId xmlns:a16="http://schemas.microsoft.com/office/drawing/2014/main" id="{00000000-0008-0000-0700-00002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39</xdr:row>
          <xdr:rowOff>50800</xdr:rowOff>
        </xdr:from>
        <xdr:to>
          <xdr:col>4</xdr:col>
          <xdr:colOff>146050</xdr:colOff>
          <xdr:row>39</xdr:row>
          <xdr:rowOff>139700</xdr:rowOff>
        </xdr:to>
        <xdr:sp macro="" textlink="">
          <xdr:nvSpPr>
            <xdr:cNvPr id="5162" name="Check Box 42" hidden="1">
              <a:extLst>
                <a:ext uri="{63B3BB69-23CF-44E3-9099-C40C66FF867C}">
                  <a14:compatExt spid="_x0000_s5162"/>
                </a:ext>
                <a:ext uri="{FF2B5EF4-FFF2-40B4-BE49-F238E27FC236}">
                  <a16:creationId xmlns:a16="http://schemas.microsoft.com/office/drawing/2014/main" id="{00000000-0008-0000-0700-00002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40</xdr:row>
          <xdr:rowOff>50800</xdr:rowOff>
        </xdr:from>
        <xdr:to>
          <xdr:col>4</xdr:col>
          <xdr:colOff>146050</xdr:colOff>
          <xdr:row>40</xdr:row>
          <xdr:rowOff>139700</xdr:rowOff>
        </xdr:to>
        <xdr:sp macro="" textlink="">
          <xdr:nvSpPr>
            <xdr:cNvPr id="5163" name="Check Box 43" hidden="1">
              <a:extLst>
                <a:ext uri="{63B3BB69-23CF-44E3-9099-C40C66FF867C}">
                  <a14:compatExt spid="_x0000_s5163"/>
                </a:ext>
                <a:ext uri="{FF2B5EF4-FFF2-40B4-BE49-F238E27FC236}">
                  <a16:creationId xmlns:a16="http://schemas.microsoft.com/office/drawing/2014/main" id="{00000000-0008-0000-0700-00002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41</xdr:row>
          <xdr:rowOff>50800</xdr:rowOff>
        </xdr:from>
        <xdr:to>
          <xdr:col>4</xdr:col>
          <xdr:colOff>146050</xdr:colOff>
          <xdr:row>41</xdr:row>
          <xdr:rowOff>139700</xdr:rowOff>
        </xdr:to>
        <xdr:sp macro="" textlink="">
          <xdr:nvSpPr>
            <xdr:cNvPr id="5164" name="Check Box 44" hidden="1">
              <a:extLst>
                <a:ext uri="{63B3BB69-23CF-44E3-9099-C40C66FF867C}">
                  <a14:compatExt spid="_x0000_s5164"/>
                </a:ext>
                <a:ext uri="{FF2B5EF4-FFF2-40B4-BE49-F238E27FC236}">
                  <a16:creationId xmlns:a16="http://schemas.microsoft.com/office/drawing/2014/main" id="{00000000-0008-0000-0700-00002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42</xdr:row>
          <xdr:rowOff>50800</xdr:rowOff>
        </xdr:from>
        <xdr:to>
          <xdr:col>4</xdr:col>
          <xdr:colOff>146050</xdr:colOff>
          <xdr:row>42</xdr:row>
          <xdr:rowOff>139700</xdr:rowOff>
        </xdr:to>
        <xdr:sp macro="" textlink="">
          <xdr:nvSpPr>
            <xdr:cNvPr id="5165" name="Check Box 45" hidden="1">
              <a:extLst>
                <a:ext uri="{63B3BB69-23CF-44E3-9099-C40C66FF867C}">
                  <a14:compatExt spid="_x0000_s5165"/>
                </a:ext>
                <a:ext uri="{FF2B5EF4-FFF2-40B4-BE49-F238E27FC236}">
                  <a16:creationId xmlns:a16="http://schemas.microsoft.com/office/drawing/2014/main" id="{00000000-0008-0000-0700-00002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43</xdr:row>
          <xdr:rowOff>50800</xdr:rowOff>
        </xdr:from>
        <xdr:to>
          <xdr:col>4</xdr:col>
          <xdr:colOff>146050</xdr:colOff>
          <xdr:row>43</xdr:row>
          <xdr:rowOff>139700</xdr:rowOff>
        </xdr:to>
        <xdr:sp macro="" textlink="">
          <xdr:nvSpPr>
            <xdr:cNvPr id="5166" name="Check Box 46" hidden="1">
              <a:extLst>
                <a:ext uri="{63B3BB69-23CF-44E3-9099-C40C66FF867C}">
                  <a14:compatExt spid="_x0000_s5166"/>
                </a:ext>
                <a:ext uri="{FF2B5EF4-FFF2-40B4-BE49-F238E27FC236}">
                  <a16:creationId xmlns:a16="http://schemas.microsoft.com/office/drawing/2014/main" id="{00000000-0008-0000-0700-00002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44</xdr:row>
          <xdr:rowOff>50800</xdr:rowOff>
        </xdr:from>
        <xdr:to>
          <xdr:col>4</xdr:col>
          <xdr:colOff>146050</xdr:colOff>
          <xdr:row>44</xdr:row>
          <xdr:rowOff>139700</xdr:rowOff>
        </xdr:to>
        <xdr:sp macro="" textlink="">
          <xdr:nvSpPr>
            <xdr:cNvPr id="5167" name="Check Box 47" hidden="1">
              <a:extLst>
                <a:ext uri="{63B3BB69-23CF-44E3-9099-C40C66FF867C}">
                  <a14:compatExt spid="_x0000_s5167"/>
                </a:ext>
                <a:ext uri="{FF2B5EF4-FFF2-40B4-BE49-F238E27FC236}">
                  <a16:creationId xmlns:a16="http://schemas.microsoft.com/office/drawing/2014/main" id="{00000000-0008-0000-0700-00002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45</xdr:row>
          <xdr:rowOff>50800</xdr:rowOff>
        </xdr:from>
        <xdr:to>
          <xdr:col>4</xdr:col>
          <xdr:colOff>146050</xdr:colOff>
          <xdr:row>45</xdr:row>
          <xdr:rowOff>139700</xdr:rowOff>
        </xdr:to>
        <xdr:sp macro="" textlink="">
          <xdr:nvSpPr>
            <xdr:cNvPr id="5168" name="Check Box 48" hidden="1">
              <a:extLst>
                <a:ext uri="{63B3BB69-23CF-44E3-9099-C40C66FF867C}">
                  <a14:compatExt spid="_x0000_s5168"/>
                </a:ext>
                <a:ext uri="{FF2B5EF4-FFF2-40B4-BE49-F238E27FC236}">
                  <a16:creationId xmlns:a16="http://schemas.microsoft.com/office/drawing/2014/main" id="{00000000-0008-0000-0700-00003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46</xdr:row>
          <xdr:rowOff>50800</xdr:rowOff>
        </xdr:from>
        <xdr:to>
          <xdr:col>4</xdr:col>
          <xdr:colOff>146050</xdr:colOff>
          <xdr:row>46</xdr:row>
          <xdr:rowOff>139700</xdr:rowOff>
        </xdr:to>
        <xdr:sp macro="" textlink="">
          <xdr:nvSpPr>
            <xdr:cNvPr id="5169" name="Check Box 49" hidden="1">
              <a:extLst>
                <a:ext uri="{63B3BB69-23CF-44E3-9099-C40C66FF867C}">
                  <a14:compatExt spid="_x0000_s5169"/>
                </a:ext>
                <a:ext uri="{FF2B5EF4-FFF2-40B4-BE49-F238E27FC236}">
                  <a16:creationId xmlns:a16="http://schemas.microsoft.com/office/drawing/2014/main" id="{00000000-0008-0000-0700-00003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47</xdr:row>
          <xdr:rowOff>50800</xdr:rowOff>
        </xdr:from>
        <xdr:to>
          <xdr:col>4</xdr:col>
          <xdr:colOff>146050</xdr:colOff>
          <xdr:row>47</xdr:row>
          <xdr:rowOff>139700</xdr:rowOff>
        </xdr:to>
        <xdr:sp macro="" textlink="">
          <xdr:nvSpPr>
            <xdr:cNvPr id="5170" name="Check Box 50" hidden="1">
              <a:extLst>
                <a:ext uri="{63B3BB69-23CF-44E3-9099-C40C66FF867C}">
                  <a14:compatExt spid="_x0000_s5170"/>
                </a:ext>
                <a:ext uri="{FF2B5EF4-FFF2-40B4-BE49-F238E27FC236}">
                  <a16:creationId xmlns:a16="http://schemas.microsoft.com/office/drawing/2014/main" id="{00000000-0008-0000-0700-00003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48</xdr:row>
          <xdr:rowOff>50800</xdr:rowOff>
        </xdr:from>
        <xdr:to>
          <xdr:col>4</xdr:col>
          <xdr:colOff>146050</xdr:colOff>
          <xdr:row>48</xdr:row>
          <xdr:rowOff>139700</xdr:rowOff>
        </xdr:to>
        <xdr:sp macro="" textlink="">
          <xdr:nvSpPr>
            <xdr:cNvPr id="5171" name="Check Box 51" hidden="1">
              <a:extLst>
                <a:ext uri="{63B3BB69-23CF-44E3-9099-C40C66FF867C}">
                  <a14:compatExt spid="_x0000_s5171"/>
                </a:ext>
                <a:ext uri="{FF2B5EF4-FFF2-40B4-BE49-F238E27FC236}">
                  <a16:creationId xmlns:a16="http://schemas.microsoft.com/office/drawing/2014/main" id="{00000000-0008-0000-0700-00003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49</xdr:row>
          <xdr:rowOff>50800</xdr:rowOff>
        </xdr:from>
        <xdr:to>
          <xdr:col>4</xdr:col>
          <xdr:colOff>146050</xdr:colOff>
          <xdr:row>49</xdr:row>
          <xdr:rowOff>139700</xdr:rowOff>
        </xdr:to>
        <xdr:sp macro="" textlink="">
          <xdr:nvSpPr>
            <xdr:cNvPr id="5172" name="Check Box 52" hidden="1">
              <a:extLst>
                <a:ext uri="{63B3BB69-23CF-44E3-9099-C40C66FF867C}">
                  <a14:compatExt spid="_x0000_s5172"/>
                </a:ext>
                <a:ext uri="{FF2B5EF4-FFF2-40B4-BE49-F238E27FC236}">
                  <a16:creationId xmlns:a16="http://schemas.microsoft.com/office/drawing/2014/main" id="{00000000-0008-0000-0700-00003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50</xdr:row>
          <xdr:rowOff>50800</xdr:rowOff>
        </xdr:from>
        <xdr:to>
          <xdr:col>4</xdr:col>
          <xdr:colOff>146050</xdr:colOff>
          <xdr:row>50</xdr:row>
          <xdr:rowOff>139700</xdr:rowOff>
        </xdr:to>
        <xdr:sp macro="" textlink="">
          <xdr:nvSpPr>
            <xdr:cNvPr id="5173" name="Check Box 53" hidden="1">
              <a:extLst>
                <a:ext uri="{63B3BB69-23CF-44E3-9099-C40C66FF867C}">
                  <a14:compatExt spid="_x0000_s5173"/>
                </a:ext>
                <a:ext uri="{FF2B5EF4-FFF2-40B4-BE49-F238E27FC236}">
                  <a16:creationId xmlns:a16="http://schemas.microsoft.com/office/drawing/2014/main" id="{00000000-0008-0000-0700-00003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51</xdr:row>
          <xdr:rowOff>50800</xdr:rowOff>
        </xdr:from>
        <xdr:to>
          <xdr:col>4</xdr:col>
          <xdr:colOff>146050</xdr:colOff>
          <xdr:row>51</xdr:row>
          <xdr:rowOff>139700</xdr:rowOff>
        </xdr:to>
        <xdr:sp macro="" textlink="">
          <xdr:nvSpPr>
            <xdr:cNvPr id="5174" name="Check Box 54" hidden="1">
              <a:extLst>
                <a:ext uri="{63B3BB69-23CF-44E3-9099-C40C66FF867C}">
                  <a14:compatExt spid="_x0000_s5174"/>
                </a:ext>
                <a:ext uri="{FF2B5EF4-FFF2-40B4-BE49-F238E27FC236}">
                  <a16:creationId xmlns:a16="http://schemas.microsoft.com/office/drawing/2014/main" id="{00000000-0008-0000-0700-00003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52</xdr:row>
          <xdr:rowOff>50800</xdr:rowOff>
        </xdr:from>
        <xdr:to>
          <xdr:col>4</xdr:col>
          <xdr:colOff>146050</xdr:colOff>
          <xdr:row>52</xdr:row>
          <xdr:rowOff>139700</xdr:rowOff>
        </xdr:to>
        <xdr:sp macro="" textlink="">
          <xdr:nvSpPr>
            <xdr:cNvPr id="5175" name="Check Box 55" hidden="1">
              <a:extLst>
                <a:ext uri="{63B3BB69-23CF-44E3-9099-C40C66FF867C}">
                  <a14:compatExt spid="_x0000_s5175"/>
                </a:ext>
                <a:ext uri="{FF2B5EF4-FFF2-40B4-BE49-F238E27FC236}">
                  <a16:creationId xmlns:a16="http://schemas.microsoft.com/office/drawing/2014/main" id="{00000000-0008-0000-0700-00003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53</xdr:row>
          <xdr:rowOff>50800</xdr:rowOff>
        </xdr:from>
        <xdr:to>
          <xdr:col>4</xdr:col>
          <xdr:colOff>146050</xdr:colOff>
          <xdr:row>53</xdr:row>
          <xdr:rowOff>139700</xdr:rowOff>
        </xdr:to>
        <xdr:sp macro="" textlink="">
          <xdr:nvSpPr>
            <xdr:cNvPr id="5176" name="Check Box 56" hidden="1">
              <a:extLst>
                <a:ext uri="{63B3BB69-23CF-44E3-9099-C40C66FF867C}">
                  <a14:compatExt spid="_x0000_s5176"/>
                </a:ext>
                <a:ext uri="{FF2B5EF4-FFF2-40B4-BE49-F238E27FC236}">
                  <a16:creationId xmlns:a16="http://schemas.microsoft.com/office/drawing/2014/main" id="{00000000-0008-0000-0700-00003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54</xdr:row>
          <xdr:rowOff>50800</xdr:rowOff>
        </xdr:from>
        <xdr:to>
          <xdr:col>4</xdr:col>
          <xdr:colOff>146050</xdr:colOff>
          <xdr:row>54</xdr:row>
          <xdr:rowOff>139700</xdr:rowOff>
        </xdr:to>
        <xdr:sp macro="" textlink="">
          <xdr:nvSpPr>
            <xdr:cNvPr id="5177" name="Check Box 57" hidden="1">
              <a:extLst>
                <a:ext uri="{63B3BB69-23CF-44E3-9099-C40C66FF867C}">
                  <a14:compatExt spid="_x0000_s5177"/>
                </a:ext>
                <a:ext uri="{FF2B5EF4-FFF2-40B4-BE49-F238E27FC236}">
                  <a16:creationId xmlns:a16="http://schemas.microsoft.com/office/drawing/2014/main" id="{00000000-0008-0000-0700-00003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55</xdr:row>
          <xdr:rowOff>50800</xdr:rowOff>
        </xdr:from>
        <xdr:to>
          <xdr:col>4</xdr:col>
          <xdr:colOff>146050</xdr:colOff>
          <xdr:row>55</xdr:row>
          <xdr:rowOff>139700</xdr:rowOff>
        </xdr:to>
        <xdr:sp macro="" textlink="">
          <xdr:nvSpPr>
            <xdr:cNvPr id="5178" name="Check Box 58" hidden="1">
              <a:extLst>
                <a:ext uri="{63B3BB69-23CF-44E3-9099-C40C66FF867C}">
                  <a14:compatExt spid="_x0000_s5178"/>
                </a:ext>
                <a:ext uri="{FF2B5EF4-FFF2-40B4-BE49-F238E27FC236}">
                  <a16:creationId xmlns:a16="http://schemas.microsoft.com/office/drawing/2014/main" id="{00000000-0008-0000-0700-00003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56</xdr:row>
          <xdr:rowOff>50800</xdr:rowOff>
        </xdr:from>
        <xdr:to>
          <xdr:col>4</xdr:col>
          <xdr:colOff>146050</xdr:colOff>
          <xdr:row>56</xdr:row>
          <xdr:rowOff>139700</xdr:rowOff>
        </xdr:to>
        <xdr:sp macro="" textlink="">
          <xdr:nvSpPr>
            <xdr:cNvPr id="5179" name="Check Box 59" hidden="1">
              <a:extLst>
                <a:ext uri="{63B3BB69-23CF-44E3-9099-C40C66FF867C}">
                  <a14:compatExt spid="_x0000_s5179"/>
                </a:ext>
                <a:ext uri="{FF2B5EF4-FFF2-40B4-BE49-F238E27FC236}">
                  <a16:creationId xmlns:a16="http://schemas.microsoft.com/office/drawing/2014/main" id="{00000000-0008-0000-0700-00003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57</xdr:row>
          <xdr:rowOff>50800</xdr:rowOff>
        </xdr:from>
        <xdr:to>
          <xdr:col>4</xdr:col>
          <xdr:colOff>146050</xdr:colOff>
          <xdr:row>57</xdr:row>
          <xdr:rowOff>139700</xdr:rowOff>
        </xdr:to>
        <xdr:sp macro="" textlink="">
          <xdr:nvSpPr>
            <xdr:cNvPr id="5180" name="Check Box 60" hidden="1">
              <a:extLst>
                <a:ext uri="{63B3BB69-23CF-44E3-9099-C40C66FF867C}">
                  <a14:compatExt spid="_x0000_s5180"/>
                </a:ext>
                <a:ext uri="{FF2B5EF4-FFF2-40B4-BE49-F238E27FC236}">
                  <a16:creationId xmlns:a16="http://schemas.microsoft.com/office/drawing/2014/main" id="{00000000-0008-0000-0700-00003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58</xdr:row>
          <xdr:rowOff>50800</xdr:rowOff>
        </xdr:from>
        <xdr:to>
          <xdr:col>4</xdr:col>
          <xdr:colOff>146050</xdr:colOff>
          <xdr:row>58</xdr:row>
          <xdr:rowOff>139700</xdr:rowOff>
        </xdr:to>
        <xdr:sp macro="" textlink="">
          <xdr:nvSpPr>
            <xdr:cNvPr id="5181" name="Check Box 61" hidden="1">
              <a:extLst>
                <a:ext uri="{63B3BB69-23CF-44E3-9099-C40C66FF867C}">
                  <a14:compatExt spid="_x0000_s5181"/>
                </a:ext>
                <a:ext uri="{FF2B5EF4-FFF2-40B4-BE49-F238E27FC236}">
                  <a16:creationId xmlns:a16="http://schemas.microsoft.com/office/drawing/2014/main" id="{00000000-0008-0000-0700-00003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59</xdr:row>
          <xdr:rowOff>50800</xdr:rowOff>
        </xdr:from>
        <xdr:to>
          <xdr:col>4</xdr:col>
          <xdr:colOff>146050</xdr:colOff>
          <xdr:row>59</xdr:row>
          <xdr:rowOff>139700</xdr:rowOff>
        </xdr:to>
        <xdr:sp macro="" textlink="">
          <xdr:nvSpPr>
            <xdr:cNvPr id="5182" name="Check Box 62" hidden="1">
              <a:extLst>
                <a:ext uri="{63B3BB69-23CF-44E3-9099-C40C66FF867C}">
                  <a14:compatExt spid="_x0000_s5182"/>
                </a:ext>
                <a:ext uri="{FF2B5EF4-FFF2-40B4-BE49-F238E27FC236}">
                  <a16:creationId xmlns:a16="http://schemas.microsoft.com/office/drawing/2014/main" id="{00000000-0008-0000-0700-00003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</xdr:row>
          <xdr:rowOff>50800</xdr:rowOff>
        </xdr:from>
        <xdr:to>
          <xdr:col>4</xdr:col>
          <xdr:colOff>146050</xdr:colOff>
          <xdr:row>3</xdr:row>
          <xdr:rowOff>139700</xdr:rowOff>
        </xdr:to>
        <xdr:sp macro="" textlink="">
          <xdr:nvSpPr>
            <xdr:cNvPr id="5245" name="Check Box 125" hidden="1">
              <a:extLst>
                <a:ext uri="{63B3BB69-23CF-44E3-9099-C40C66FF867C}">
                  <a14:compatExt spid="_x0000_s5245"/>
                </a:ext>
                <a:ext uri="{FF2B5EF4-FFF2-40B4-BE49-F238E27FC236}">
                  <a16:creationId xmlns:a16="http://schemas.microsoft.com/office/drawing/2014/main" id="{00000000-0008-0000-0700-00007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</xdr:row>
          <xdr:rowOff>50800</xdr:rowOff>
        </xdr:from>
        <xdr:to>
          <xdr:col>4</xdr:col>
          <xdr:colOff>146050</xdr:colOff>
          <xdr:row>4</xdr:row>
          <xdr:rowOff>139700</xdr:rowOff>
        </xdr:to>
        <xdr:sp macro="" textlink="">
          <xdr:nvSpPr>
            <xdr:cNvPr id="5246" name="Check Box 126" hidden="1">
              <a:extLst>
                <a:ext uri="{63B3BB69-23CF-44E3-9099-C40C66FF867C}">
                  <a14:compatExt spid="_x0000_s5246"/>
                </a:ext>
                <a:ext uri="{FF2B5EF4-FFF2-40B4-BE49-F238E27FC236}">
                  <a16:creationId xmlns:a16="http://schemas.microsoft.com/office/drawing/2014/main" id="{00000000-0008-0000-0700-00007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</xdr:row>
          <xdr:rowOff>50800</xdr:rowOff>
        </xdr:from>
        <xdr:to>
          <xdr:col>4</xdr:col>
          <xdr:colOff>146050</xdr:colOff>
          <xdr:row>5</xdr:row>
          <xdr:rowOff>139700</xdr:rowOff>
        </xdr:to>
        <xdr:sp macro="" textlink="">
          <xdr:nvSpPr>
            <xdr:cNvPr id="5247" name="Check Box 127" hidden="1">
              <a:extLst>
                <a:ext uri="{63B3BB69-23CF-44E3-9099-C40C66FF867C}">
                  <a14:compatExt spid="_x0000_s5247"/>
                </a:ext>
                <a:ext uri="{FF2B5EF4-FFF2-40B4-BE49-F238E27FC236}">
                  <a16:creationId xmlns:a16="http://schemas.microsoft.com/office/drawing/2014/main" id="{00000000-0008-0000-0700-00007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</xdr:row>
          <xdr:rowOff>50800</xdr:rowOff>
        </xdr:from>
        <xdr:to>
          <xdr:col>4</xdr:col>
          <xdr:colOff>146050</xdr:colOff>
          <xdr:row>6</xdr:row>
          <xdr:rowOff>139700</xdr:rowOff>
        </xdr:to>
        <xdr:sp macro="" textlink="">
          <xdr:nvSpPr>
            <xdr:cNvPr id="5248" name="Check Box 128" hidden="1">
              <a:extLst>
                <a:ext uri="{63B3BB69-23CF-44E3-9099-C40C66FF867C}">
                  <a14:compatExt spid="_x0000_s5248"/>
                </a:ext>
                <a:ext uri="{FF2B5EF4-FFF2-40B4-BE49-F238E27FC236}">
                  <a16:creationId xmlns:a16="http://schemas.microsoft.com/office/drawing/2014/main" id="{00000000-0008-0000-0700-00008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7</xdr:row>
          <xdr:rowOff>50800</xdr:rowOff>
        </xdr:from>
        <xdr:to>
          <xdr:col>4</xdr:col>
          <xdr:colOff>146050</xdr:colOff>
          <xdr:row>7</xdr:row>
          <xdr:rowOff>139700</xdr:rowOff>
        </xdr:to>
        <xdr:sp macro="" textlink="">
          <xdr:nvSpPr>
            <xdr:cNvPr id="5249" name="Check Box 129" hidden="1">
              <a:extLst>
                <a:ext uri="{63B3BB69-23CF-44E3-9099-C40C66FF867C}">
                  <a14:compatExt spid="_x0000_s5249"/>
                </a:ext>
                <a:ext uri="{FF2B5EF4-FFF2-40B4-BE49-F238E27FC236}">
                  <a16:creationId xmlns:a16="http://schemas.microsoft.com/office/drawing/2014/main" id="{00000000-0008-0000-0700-00008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8</xdr:row>
          <xdr:rowOff>50800</xdr:rowOff>
        </xdr:from>
        <xdr:to>
          <xdr:col>4</xdr:col>
          <xdr:colOff>146050</xdr:colOff>
          <xdr:row>8</xdr:row>
          <xdr:rowOff>139700</xdr:rowOff>
        </xdr:to>
        <xdr:sp macro="" textlink="">
          <xdr:nvSpPr>
            <xdr:cNvPr id="5250" name="Check Box 130" hidden="1">
              <a:extLst>
                <a:ext uri="{63B3BB69-23CF-44E3-9099-C40C66FF867C}">
                  <a14:compatExt spid="_x0000_s5250"/>
                </a:ext>
                <a:ext uri="{FF2B5EF4-FFF2-40B4-BE49-F238E27FC236}">
                  <a16:creationId xmlns:a16="http://schemas.microsoft.com/office/drawing/2014/main" id="{00000000-0008-0000-0700-00008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9</xdr:row>
          <xdr:rowOff>50800</xdr:rowOff>
        </xdr:from>
        <xdr:to>
          <xdr:col>4</xdr:col>
          <xdr:colOff>146050</xdr:colOff>
          <xdr:row>9</xdr:row>
          <xdr:rowOff>139700</xdr:rowOff>
        </xdr:to>
        <xdr:sp macro="" textlink="">
          <xdr:nvSpPr>
            <xdr:cNvPr id="5251" name="Check Box 131" hidden="1">
              <a:extLst>
                <a:ext uri="{63B3BB69-23CF-44E3-9099-C40C66FF867C}">
                  <a14:compatExt spid="_x0000_s5251"/>
                </a:ext>
                <a:ext uri="{FF2B5EF4-FFF2-40B4-BE49-F238E27FC236}">
                  <a16:creationId xmlns:a16="http://schemas.microsoft.com/office/drawing/2014/main" id="{00000000-0008-0000-0700-00008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10</xdr:row>
          <xdr:rowOff>50800</xdr:rowOff>
        </xdr:from>
        <xdr:to>
          <xdr:col>4</xdr:col>
          <xdr:colOff>146050</xdr:colOff>
          <xdr:row>10</xdr:row>
          <xdr:rowOff>139700</xdr:rowOff>
        </xdr:to>
        <xdr:sp macro="" textlink="">
          <xdr:nvSpPr>
            <xdr:cNvPr id="5252" name="Check Box 132" hidden="1">
              <a:extLst>
                <a:ext uri="{63B3BB69-23CF-44E3-9099-C40C66FF867C}">
                  <a14:compatExt spid="_x0000_s5252"/>
                </a:ext>
                <a:ext uri="{FF2B5EF4-FFF2-40B4-BE49-F238E27FC236}">
                  <a16:creationId xmlns:a16="http://schemas.microsoft.com/office/drawing/2014/main" id="{00000000-0008-0000-0700-00008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11</xdr:row>
          <xdr:rowOff>50800</xdr:rowOff>
        </xdr:from>
        <xdr:to>
          <xdr:col>4</xdr:col>
          <xdr:colOff>146050</xdr:colOff>
          <xdr:row>11</xdr:row>
          <xdr:rowOff>139700</xdr:rowOff>
        </xdr:to>
        <xdr:sp macro="" textlink="">
          <xdr:nvSpPr>
            <xdr:cNvPr id="5253" name="Check Box 133" hidden="1">
              <a:extLst>
                <a:ext uri="{63B3BB69-23CF-44E3-9099-C40C66FF867C}">
                  <a14:compatExt spid="_x0000_s5253"/>
                </a:ext>
                <a:ext uri="{FF2B5EF4-FFF2-40B4-BE49-F238E27FC236}">
                  <a16:creationId xmlns:a16="http://schemas.microsoft.com/office/drawing/2014/main" id="{00000000-0008-0000-0700-00008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12</xdr:row>
          <xdr:rowOff>50800</xdr:rowOff>
        </xdr:from>
        <xdr:to>
          <xdr:col>4</xdr:col>
          <xdr:colOff>146050</xdr:colOff>
          <xdr:row>12</xdr:row>
          <xdr:rowOff>139700</xdr:rowOff>
        </xdr:to>
        <xdr:sp macro="" textlink="">
          <xdr:nvSpPr>
            <xdr:cNvPr id="5254" name="Check Box 134" hidden="1">
              <a:extLst>
                <a:ext uri="{63B3BB69-23CF-44E3-9099-C40C66FF867C}">
                  <a14:compatExt spid="_x0000_s5254"/>
                </a:ext>
                <a:ext uri="{FF2B5EF4-FFF2-40B4-BE49-F238E27FC236}">
                  <a16:creationId xmlns:a16="http://schemas.microsoft.com/office/drawing/2014/main" id="{00000000-0008-0000-0700-00008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13</xdr:row>
          <xdr:rowOff>50800</xdr:rowOff>
        </xdr:from>
        <xdr:to>
          <xdr:col>4</xdr:col>
          <xdr:colOff>146050</xdr:colOff>
          <xdr:row>13</xdr:row>
          <xdr:rowOff>139700</xdr:rowOff>
        </xdr:to>
        <xdr:sp macro="" textlink="">
          <xdr:nvSpPr>
            <xdr:cNvPr id="5255" name="Check Box 135" hidden="1">
              <a:extLst>
                <a:ext uri="{63B3BB69-23CF-44E3-9099-C40C66FF867C}">
                  <a14:compatExt spid="_x0000_s5255"/>
                </a:ext>
                <a:ext uri="{FF2B5EF4-FFF2-40B4-BE49-F238E27FC236}">
                  <a16:creationId xmlns:a16="http://schemas.microsoft.com/office/drawing/2014/main" id="{00000000-0008-0000-0700-00008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14</xdr:row>
          <xdr:rowOff>50800</xdr:rowOff>
        </xdr:from>
        <xdr:to>
          <xdr:col>4</xdr:col>
          <xdr:colOff>146050</xdr:colOff>
          <xdr:row>14</xdr:row>
          <xdr:rowOff>139700</xdr:rowOff>
        </xdr:to>
        <xdr:sp macro="" textlink="">
          <xdr:nvSpPr>
            <xdr:cNvPr id="5256" name="Check Box 136" hidden="1">
              <a:extLst>
                <a:ext uri="{63B3BB69-23CF-44E3-9099-C40C66FF867C}">
                  <a14:compatExt spid="_x0000_s5256"/>
                </a:ext>
                <a:ext uri="{FF2B5EF4-FFF2-40B4-BE49-F238E27FC236}">
                  <a16:creationId xmlns:a16="http://schemas.microsoft.com/office/drawing/2014/main" id="{00000000-0008-0000-0700-00008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15</xdr:row>
          <xdr:rowOff>50800</xdr:rowOff>
        </xdr:from>
        <xdr:to>
          <xdr:col>4</xdr:col>
          <xdr:colOff>146050</xdr:colOff>
          <xdr:row>15</xdr:row>
          <xdr:rowOff>139700</xdr:rowOff>
        </xdr:to>
        <xdr:sp macro="" textlink="">
          <xdr:nvSpPr>
            <xdr:cNvPr id="5257" name="Check Box 137" hidden="1">
              <a:extLst>
                <a:ext uri="{63B3BB69-23CF-44E3-9099-C40C66FF867C}">
                  <a14:compatExt spid="_x0000_s5257"/>
                </a:ext>
                <a:ext uri="{FF2B5EF4-FFF2-40B4-BE49-F238E27FC236}">
                  <a16:creationId xmlns:a16="http://schemas.microsoft.com/office/drawing/2014/main" id="{00000000-0008-0000-0700-00008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16</xdr:row>
          <xdr:rowOff>50800</xdr:rowOff>
        </xdr:from>
        <xdr:to>
          <xdr:col>4</xdr:col>
          <xdr:colOff>146050</xdr:colOff>
          <xdr:row>16</xdr:row>
          <xdr:rowOff>139700</xdr:rowOff>
        </xdr:to>
        <xdr:sp macro="" textlink="">
          <xdr:nvSpPr>
            <xdr:cNvPr id="5258" name="Check Box 138" hidden="1">
              <a:extLst>
                <a:ext uri="{63B3BB69-23CF-44E3-9099-C40C66FF867C}">
                  <a14:compatExt spid="_x0000_s5258"/>
                </a:ext>
                <a:ext uri="{FF2B5EF4-FFF2-40B4-BE49-F238E27FC236}">
                  <a16:creationId xmlns:a16="http://schemas.microsoft.com/office/drawing/2014/main" id="{00000000-0008-0000-0700-00008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17</xdr:row>
          <xdr:rowOff>50800</xdr:rowOff>
        </xdr:from>
        <xdr:to>
          <xdr:col>4</xdr:col>
          <xdr:colOff>146050</xdr:colOff>
          <xdr:row>17</xdr:row>
          <xdr:rowOff>139700</xdr:rowOff>
        </xdr:to>
        <xdr:sp macro="" textlink="">
          <xdr:nvSpPr>
            <xdr:cNvPr id="5259" name="Check Box 139" hidden="1">
              <a:extLst>
                <a:ext uri="{63B3BB69-23CF-44E3-9099-C40C66FF867C}">
                  <a14:compatExt spid="_x0000_s5259"/>
                </a:ext>
                <a:ext uri="{FF2B5EF4-FFF2-40B4-BE49-F238E27FC236}">
                  <a16:creationId xmlns:a16="http://schemas.microsoft.com/office/drawing/2014/main" id="{00000000-0008-0000-0700-00008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18</xdr:row>
          <xdr:rowOff>50800</xdr:rowOff>
        </xdr:from>
        <xdr:to>
          <xdr:col>4</xdr:col>
          <xdr:colOff>146050</xdr:colOff>
          <xdr:row>18</xdr:row>
          <xdr:rowOff>139700</xdr:rowOff>
        </xdr:to>
        <xdr:sp macro="" textlink="">
          <xdr:nvSpPr>
            <xdr:cNvPr id="5260" name="Check Box 140" hidden="1">
              <a:extLst>
                <a:ext uri="{63B3BB69-23CF-44E3-9099-C40C66FF867C}">
                  <a14:compatExt spid="_x0000_s5260"/>
                </a:ext>
                <a:ext uri="{FF2B5EF4-FFF2-40B4-BE49-F238E27FC236}">
                  <a16:creationId xmlns:a16="http://schemas.microsoft.com/office/drawing/2014/main" id="{00000000-0008-0000-0700-00008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19</xdr:row>
          <xdr:rowOff>50800</xdr:rowOff>
        </xdr:from>
        <xdr:to>
          <xdr:col>4</xdr:col>
          <xdr:colOff>146050</xdr:colOff>
          <xdr:row>19</xdr:row>
          <xdr:rowOff>139700</xdr:rowOff>
        </xdr:to>
        <xdr:sp macro="" textlink="">
          <xdr:nvSpPr>
            <xdr:cNvPr id="5261" name="Check Box 141" hidden="1">
              <a:extLst>
                <a:ext uri="{63B3BB69-23CF-44E3-9099-C40C66FF867C}">
                  <a14:compatExt spid="_x0000_s5261"/>
                </a:ext>
                <a:ext uri="{FF2B5EF4-FFF2-40B4-BE49-F238E27FC236}">
                  <a16:creationId xmlns:a16="http://schemas.microsoft.com/office/drawing/2014/main" id="{00000000-0008-0000-0700-00008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20</xdr:row>
          <xdr:rowOff>50800</xdr:rowOff>
        </xdr:from>
        <xdr:to>
          <xdr:col>4</xdr:col>
          <xdr:colOff>146050</xdr:colOff>
          <xdr:row>20</xdr:row>
          <xdr:rowOff>139700</xdr:rowOff>
        </xdr:to>
        <xdr:sp macro="" textlink="">
          <xdr:nvSpPr>
            <xdr:cNvPr id="5262" name="Check Box 142" hidden="1">
              <a:extLst>
                <a:ext uri="{63B3BB69-23CF-44E3-9099-C40C66FF867C}">
                  <a14:compatExt spid="_x0000_s5262"/>
                </a:ext>
                <a:ext uri="{FF2B5EF4-FFF2-40B4-BE49-F238E27FC236}">
                  <a16:creationId xmlns:a16="http://schemas.microsoft.com/office/drawing/2014/main" id="{00000000-0008-0000-0700-00008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21</xdr:row>
          <xdr:rowOff>50800</xdr:rowOff>
        </xdr:from>
        <xdr:to>
          <xdr:col>4</xdr:col>
          <xdr:colOff>146050</xdr:colOff>
          <xdr:row>21</xdr:row>
          <xdr:rowOff>139700</xdr:rowOff>
        </xdr:to>
        <xdr:sp macro="" textlink="">
          <xdr:nvSpPr>
            <xdr:cNvPr id="5263" name="Check Box 143" hidden="1">
              <a:extLst>
                <a:ext uri="{63B3BB69-23CF-44E3-9099-C40C66FF867C}">
                  <a14:compatExt spid="_x0000_s5263"/>
                </a:ext>
                <a:ext uri="{FF2B5EF4-FFF2-40B4-BE49-F238E27FC236}">
                  <a16:creationId xmlns:a16="http://schemas.microsoft.com/office/drawing/2014/main" id="{00000000-0008-0000-0700-00008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22</xdr:row>
          <xdr:rowOff>50800</xdr:rowOff>
        </xdr:from>
        <xdr:to>
          <xdr:col>4</xdr:col>
          <xdr:colOff>146050</xdr:colOff>
          <xdr:row>22</xdr:row>
          <xdr:rowOff>139700</xdr:rowOff>
        </xdr:to>
        <xdr:sp macro="" textlink="">
          <xdr:nvSpPr>
            <xdr:cNvPr id="5264" name="Check Box 144" hidden="1">
              <a:extLst>
                <a:ext uri="{63B3BB69-23CF-44E3-9099-C40C66FF867C}">
                  <a14:compatExt spid="_x0000_s5264"/>
                </a:ext>
                <a:ext uri="{FF2B5EF4-FFF2-40B4-BE49-F238E27FC236}">
                  <a16:creationId xmlns:a16="http://schemas.microsoft.com/office/drawing/2014/main" id="{00000000-0008-0000-0700-00009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23</xdr:row>
          <xdr:rowOff>50800</xdr:rowOff>
        </xdr:from>
        <xdr:to>
          <xdr:col>4</xdr:col>
          <xdr:colOff>146050</xdr:colOff>
          <xdr:row>23</xdr:row>
          <xdr:rowOff>139700</xdr:rowOff>
        </xdr:to>
        <xdr:sp macro="" textlink="">
          <xdr:nvSpPr>
            <xdr:cNvPr id="5265" name="Check Box 145" hidden="1">
              <a:extLst>
                <a:ext uri="{63B3BB69-23CF-44E3-9099-C40C66FF867C}">
                  <a14:compatExt spid="_x0000_s5265"/>
                </a:ext>
                <a:ext uri="{FF2B5EF4-FFF2-40B4-BE49-F238E27FC236}">
                  <a16:creationId xmlns:a16="http://schemas.microsoft.com/office/drawing/2014/main" id="{00000000-0008-0000-0700-00009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24</xdr:row>
          <xdr:rowOff>50800</xdr:rowOff>
        </xdr:from>
        <xdr:to>
          <xdr:col>4</xdr:col>
          <xdr:colOff>146050</xdr:colOff>
          <xdr:row>24</xdr:row>
          <xdr:rowOff>139700</xdr:rowOff>
        </xdr:to>
        <xdr:sp macro="" textlink="">
          <xdr:nvSpPr>
            <xdr:cNvPr id="5266" name="Check Box 146" hidden="1">
              <a:extLst>
                <a:ext uri="{63B3BB69-23CF-44E3-9099-C40C66FF867C}">
                  <a14:compatExt spid="_x0000_s5266"/>
                </a:ext>
                <a:ext uri="{FF2B5EF4-FFF2-40B4-BE49-F238E27FC236}">
                  <a16:creationId xmlns:a16="http://schemas.microsoft.com/office/drawing/2014/main" id="{00000000-0008-0000-0700-00009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25</xdr:row>
          <xdr:rowOff>50800</xdr:rowOff>
        </xdr:from>
        <xdr:to>
          <xdr:col>4</xdr:col>
          <xdr:colOff>146050</xdr:colOff>
          <xdr:row>25</xdr:row>
          <xdr:rowOff>139700</xdr:rowOff>
        </xdr:to>
        <xdr:sp macro="" textlink="">
          <xdr:nvSpPr>
            <xdr:cNvPr id="5267" name="Check Box 147" hidden="1">
              <a:extLst>
                <a:ext uri="{63B3BB69-23CF-44E3-9099-C40C66FF867C}">
                  <a14:compatExt spid="_x0000_s5267"/>
                </a:ext>
                <a:ext uri="{FF2B5EF4-FFF2-40B4-BE49-F238E27FC236}">
                  <a16:creationId xmlns:a16="http://schemas.microsoft.com/office/drawing/2014/main" id="{00000000-0008-0000-0700-00009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26</xdr:row>
          <xdr:rowOff>50800</xdr:rowOff>
        </xdr:from>
        <xdr:to>
          <xdr:col>4</xdr:col>
          <xdr:colOff>146050</xdr:colOff>
          <xdr:row>26</xdr:row>
          <xdr:rowOff>139700</xdr:rowOff>
        </xdr:to>
        <xdr:sp macro="" textlink="">
          <xdr:nvSpPr>
            <xdr:cNvPr id="5268" name="Check Box 148" hidden="1">
              <a:extLst>
                <a:ext uri="{63B3BB69-23CF-44E3-9099-C40C66FF867C}">
                  <a14:compatExt spid="_x0000_s5268"/>
                </a:ext>
                <a:ext uri="{FF2B5EF4-FFF2-40B4-BE49-F238E27FC236}">
                  <a16:creationId xmlns:a16="http://schemas.microsoft.com/office/drawing/2014/main" id="{00000000-0008-0000-0700-00009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27</xdr:row>
          <xdr:rowOff>50800</xdr:rowOff>
        </xdr:from>
        <xdr:to>
          <xdr:col>4</xdr:col>
          <xdr:colOff>146050</xdr:colOff>
          <xdr:row>27</xdr:row>
          <xdr:rowOff>139700</xdr:rowOff>
        </xdr:to>
        <xdr:sp macro="" textlink="">
          <xdr:nvSpPr>
            <xdr:cNvPr id="5269" name="Check Box 149" hidden="1">
              <a:extLst>
                <a:ext uri="{63B3BB69-23CF-44E3-9099-C40C66FF867C}">
                  <a14:compatExt spid="_x0000_s5269"/>
                </a:ext>
                <a:ext uri="{FF2B5EF4-FFF2-40B4-BE49-F238E27FC236}">
                  <a16:creationId xmlns:a16="http://schemas.microsoft.com/office/drawing/2014/main" id="{00000000-0008-0000-0700-00009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28</xdr:row>
          <xdr:rowOff>50800</xdr:rowOff>
        </xdr:from>
        <xdr:to>
          <xdr:col>4</xdr:col>
          <xdr:colOff>146050</xdr:colOff>
          <xdr:row>28</xdr:row>
          <xdr:rowOff>139700</xdr:rowOff>
        </xdr:to>
        <xdr:sp macro="" textlink="">
          <xdr:nvSpPr>
            <xdr:cNvPr id="5270" name="Check Box 150" hidden="1">
              <a:extLst>
                <a:ext uri="{63B3BB69-23CF-44E3-9099-C40C66FF867C}">
                  <a14:compatExt spid="_x0000_s5270"/>
                </a:ext>
                <a:ext uri="{FF2B5EF4-FFF2-40B4-BE49-F238E27FC236}">
                  <a16:creationId xmlns:a16="http://schemas.microsoft.com/office/drawing/2014/main" id="{00000000-0008-0000-0700-00009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29</xdr:row>
          <xdr:rowOff>50800</xdr:rowOff>
        </xdr:from>
        <xdr:to>
          <xdr:col>4</xdr:col>
          <xdr:colOff>146050</xdr:colOff>
          <xdr:row>29</xdr:row>
          <xdr:rowOff>139700</xdr:rowOff>
        </xdr:to>
        <xdr:sp macro="" textlink="">
          <xdr:nvSpPr>
            <xdr:cNvPr id="5271" name="Check Box 151" hidden="1">
              <a:extLst>
                <a:ext uri="{63B3BB69-23CF-44E3-9099-C40C66FF867C}">
                  <a14:compatExt spid="_x0000_s5271"/>
                </a:ext>
                <a:ext uri="{FF2B5EF4-FFF2-40B4-BE49-F238E27FC236}">
                  <a16:creationId xmlns:a16="http://schemas.microsoft.com/office/drawing/2014/main" id="{00000000-0008-0000-0700-00009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30</xdr:row>
          <xdr:rowOff>50800</xdr:rowOff>
        </xdr:from>
        <xdr:to>
          <xdr:col>4</xdr:col>
          <xdr:colOff>146050</xdr:colOff>
          <xdr:row>30</xdr:row>
          <xdr:rowOff>139700</xdr:rowOff>
        </xdr:to>
        <xdr:sp macro="" textlink="">
          <xdr:nvSpPr>
            <xdr:cNvPr id="5272" name="Check Box 152" hidden="1">
              <a:extLst>
                <a:ext uri="{63B3BB69-23CF-44E3-9099-C40C66FF867C}">
                  <a14:compatExt spid="_x0000_s5272"/>
                </a:ext>
                <a:ext uri="{FF2B5EF4-FFF2-40B4-BE49-F238E27FC236}">
                  <a16:creationId xmlns:a16="http://schemas.microsoft.com/office/drawing/2014/main" id="{00000000-0008-0000-0700-00009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31</xdr:row>
          <xdr:rowOff>50800</xdr:rowOff>
        </xdr:from>
        <xdr:to>
          <xdr:col>4</xdr:col>
          <xdr:colOff>146050</xdr:colOff>
          <xdr:row>31</xdr:row>
          <xdr:rowOff>139700</xdr:rowOff>
        </xdr:to>
        <xdr:sp macro="" textlink="">
          <xdr:nvSpPr>
            <xdr:cNvPr id="5273" name="Check Box 153" hidden="1">
              <a:extLst>
                <a:ext uri="{63B3BB69-23CF-44E3-9099-C40C66FF867C}">
                  <a14:compatExt spid="_x0000_s5273"/>
                </a:ext>
                <a:ext uri="{FF2B5EF4-FFF2-40B4-BE49-F238E27FC236}">
                  <a16:creationId xmlns:a16="http://schemas.microsoft.com/office/drawing/2014/main" id="{00000000-0008-0000-0700-00009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32</xdr:row>
          <xdr:rowOff>50800</xdr:rowOff>
        </xdr:from>
        <xdr:to>
          <xdr:col>4</xdr:col>
          <xdr:colOff>146050</xdr:colOff>
          <xdr:row>32</xdr:row>
          <xdr:rowOff>139700</xdr:rowOff>
        </xdr:to>
        <xdr:sp macro="" textlink="">
          <xdr:nvSpPr>
            <xdr:cNvPr id="5274" name="Check Box 154" hidden="1">
              <a:extLst>
                <a:ext uri="{63B3BB69-23CF-44E3-9099-C40C66FF867C}">
                  <a14:compatExt spid="_x0000_s5274"/>
                </a:ext>
                <a:ext uri="{FF2B5EF4-FFF2-40B4-BE49-F238E27FC236}">
                  <a16:creationId xmlns:a16="http://schemas.microsoft.com/office/drawing/2014/main" id="{00000000-0008-0000-0700-00009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33</xdr:row>
          <xdr:rowOff>50800</xdr:rowOff>
        </xdr:from>
        <xdr:to>
          <xdr:col>4</xdr:col>
          <xdr:colOff>146050</xdr:colOff>
          <xdr:row>33</xdr:row>
          <xdr:rowOff>139700</xdr:rowOff>
        </xdr:to>
        <xdr:sp macro="" textlink="">
          <xdr:nvSpPr>
            <xdr:cNvPr id="5275" name="Check Box 155" hidden="1">
              <a:extLst>
                <a:ext uri="{63B3BB69-23CF-44E3-9099-C40C66FF867C}">
                  <a14:compatExt spid="_x0000_s5275"/>
                </a:ext>
                <a:ext uri="{FF2B5EF4-FFF2-40B4-BE49-F238E27FC236}">
                  <a16:creationId xmlns:a16="http://schemas.microsoft.com/office/drawing/2014/main" id="{00000000-0008-0000-0700-00009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34</xdr:row>
          <xdr:rowOff>50800</xdr:rowOff>
        </xdr:from>
        <xdr:to>
          <xdr:col>4</xdr:col>
          <xdr:colOff>146050</xdr:colOff>
          <xdr:row>34</xdr:row>
          <xdr:rowOff>139700</xdr:rowOff>
        </xdr:to>
        <xdr:sp macro="" textlink="">
          <xdr:nvSpPr>
            <xdr:cNvPr id="5276" name="Check Box 156" hidden="1">
              <a:extLst>
                <a:ext uri="{63B3BB69-23CF-44E3-9099-C40C66FF867C}">
                  <a14:compatExt spid="_x0000_s5276"/>
                </a:ext>
                <a:ext uri="{FF2B5EF4-FFF2-40B4-BE49-F238E27FC236}">
                  <a16:creationId xmlns:a16="http://schemas.microsoft.com/office/drawing/2014/main" id="{00000000-0008-0000-0700-00009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35</xdr:row>
          <xdr:rowOff>50800</xdr:rowOff>
        </xdr:from>
        <xdr:to>
          <xdr:col>4</xdr:col>
          <xdr:colOff>146050</xdr:colOff>
          <xdr:row>35</xdr:row>
          <xdr:rowOff>139700</xdr:rowOff>
        </xdr:to>
        <xdr:sp macro="" textlink="">
          <xdr:nvSpPr>
            <xdr:cNvPr id="5277" name="Check Box 157" hidden="1">
              <a:extLst>
                <a:ext uri="{63B3BB69-23CF-44E3-9099-C40C66FF867C}">
                  <a14:compatExt spid="_x0000_s5277"/>
                </a:ext>
                <a:ext uri="{FF2B5EF4-FFF2-40B4-BE49-F238E27FC236}">
                  <a16:creationId xmlns:a16="http://schemas.microsoft.com/office/drawing/2014/main" id="{00000000-0008-0000-0700-00009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36</xdr:row>
          <xdr:rowOff>50800</xdr:rowOff>
        </xdr:from>
        <xdr:to>
          <xdr:col>4</xdr:col>
          <xdr:colOff>146050</xdr:colOff>
          <xdr:row>36</xdr:row>
          <xdr:rowOff>139700</xdr:rowOff>
        </xdr:to>
        <xdr:sp macro="" textlink="">
          <xdr:nvSpPr>
            <xdr:cNvPr id="5278" name="Check Box 158" hidden="1">
              <a:extLst>
                <a:ext uri="{63B3BB69-23CF-44E3-9099-C40C66FF867C}">
                  <a14:compatExt spid="_x0000_s5278"/>
                </a:ext>
                <a:ext uri="{FF2B5EF4-FFF2-40B4-BE49-F238E27FC236}">
                  <a16:creationId xmlns:a16="http://schemas.microsoft.com/office/drawing/2014/main" id="{00000000-0008-0000-0700-00009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37</xdr:row>
          <xdr:rowOff>50800</xdr:rowOff>
        </xdr:from>
        <xdr:to>
          <xdr:col>4</xdr:col>
          <xdr:colOff>146050</xdr:colOff>
          <xdr:row>37</xdr:row>
          <xdr:rowOff>139700</xdr:rowOff>
        </xdr:to>
        <xdr:sp macro="" textlink="">
          <xdr:nvSpPr>
            <xdr:cNvPr id="5279" name="Check Box 159" hidden="1">
              <a:extLst>
                <a:ext uri="{63B3BB69-23CF-44E3-9099-C40C66FF867C}">
                  <a14:compatExt spid="_x0000_s5279"/>
                </a:ext>
                <a:ext uri="{FF2B5EF4-FFF2-40B4-BE49-F238E27FC236}">
                  <a16:creationId xmlns:a16="http://schemas.microsoft.com/office/drawing/2014/main" id="{00000000-0008-0000-0700-00009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38</xdr:row>
          <xdr:rowOff>50800</xdr:rowOff>
        </xdr:from>
        <xdr:to>
          <xdr:col>4</xdr:col>
          <xdr:colOff>146050</xdr:colOff>
          <xdr:row>38</xdr:row>
          <xdr:rowOff>139700</xdr:rowOff>
        </xdr:to>
        <xdr:sp macro="" textlink="">
          <xdr:nvSpPr>
            <xdr:cNvPr id="5280" name="Check Box 160" hidden="1">
              <a:extLst>
                <a:ext uri="{63B3BB69-23CF-44E3-9099-C40C66FF867C}">
                  <a14:compatExt spid="_x0000_s5280"/>
                </a:ext>
                <a:ext uri="{FF2B5EF4-FFF2-40B4-BE49-F238E27FC236}">
                  <a16:creationId xmlns:a16="http://schemas.microsoft.com/office/drawing/2014/main" id="{00000000-0008-0000-0700-0000A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39</xdr:row>
          <xdr:rowOff>50800</xdr:rowOff>
        </xdr:from>
        <xdr:to>
          <xdr:col>4</xdr:col>
          <xdr:colOff>146050</xdr:colOff>
          <xdr:row>39</xdr:row>
          <xdr:rowOff>139700</xdr:rowOff>
        </xdr:to>
        <xdr:sp macro="" textlink="">
          <xdr:nvSpPr>
            <xdr:cNvPr id="5281" name="Check Box 161" hidden="1">
              <a:extLst>
                <a:ext uri="{63B3BB69-23CF-44E3-9099-C40C66FF867C}">
                  <a14:compatExt spid="_x0000_s5281"/>
                </a:ext>
                <a:ext uri="{FF2B5EF4-FFF2-40B4-BE49-F238E27FC236}">
                  <a16:creationId xmlns:a16="http://schemas.microsoft.com/office/drawing/2014/main" id="{00000000-0008-0000-0700-0000A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40</xdr:row>
          <xdr:rowOff>50800</xdr:rowOff>
        </xdr:from>
        <xdr:to>
          <xdr:col>4</xdr:col>
          <xdr:colOff>146050</xdr:colOff>
          <xdr:row>40</xdr:row>
          <xdr:rowOff>139700</xdr:rowOff>
        </xdr:to>
        <xdr:sp macro="" textlink="">
          <xdr:nvSpPr>
            <xdr:cNvPr id="5282" name="Check Box 162" hidden="1">
              <a:extLst>
                <a:ext uri="{63B3BB69-23CF-44E3-9099-C40C66FF867C}">
                  <a14:compatExt spid="_x0000_s5282"/>
                </a:ext>
                <a:ext uri="{FF2B5EF4-FFF2-40B4-BE49-F238E27FC236}">
                  <a16:creationId xmlns:a16="http://schemas.microsoft.com/office/drawing/2014/main" id="{00000000-0008-0000-0700-0000A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41</xdr:row>
          <xdr:rowOff>50800</xdr:rowOff>
        </xdr:from>
        <xdr:to>
          <xdr:col>4</xdr:col>
          <xdr:colOff>146050</xdr:colOff>
          <xdr:row>41</xdr:row>
          <xdr:rowOff>139700</xdr:rowOff>
        </xdr:to>
        <xdr:sp macro="" textlink="">
          <xdr:nvSpPr>
            <xdr:cNvPr id="5283" name="Check Box 163" hidden="1">
              <a:extLst>
                <a:ext uri="{63B3BB69-23CF-44E3-9099-C40C66FF867C}">
                  <a14:compatExt spid="_x0000_s5283"/>
                </a:ext>
                <a:ext uri="{FF2B5EF4-FFF2-40B4-BE49-F238E27FC236}">
                  <a16:creationId xmlns:a16="http://schemas.microsoft.com/office/drawing/2014/main" id="{00000000-0008-0000-0700-0000A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42</xdr:row>
          <xdr:rowOff>50800</xdr:rowOff>
        </xdr:from>
        <xdr:to>
          <xdr:col>4</xdr:col>
          <xdr:colOff>146050</xdr:colOff>
          <xdr:row>42</xdr:row>
          <xdr:rowOff>139700</xdr:rowOff>
        </xdr:to>
        <xdr:sp macro="" textlink="">
          <xdr:nvSpPr>
            <xdr:cNvPr id="5284" name="Check Box 164" hidden="1">
              <a:extLst>
                <a:ext uri="{63B3BB69-23CF-44E3-9099-C40C66FF867C}">
                  <a14:compatExt spid="_x0000_s5284"/>
                </a:ext>
                <a:ext uri="{FF2B5EF4-FFF2-40B4-BE49-F238E27FC236}">
                  <a16:creationId xmlns:a16="http://schemas.microsoft.com/office/drawing/2014/main" id="{00000000-0008-0000-0700-0000A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43</xdr:row>
          <xdr:rowOff>50800</xdr:rowOff>
        </xdr:from>
        <xdr:to>
          <xdr:col>4</xdr:col>
          <xdr:colOff>146050</xdr:colOff>
          <xdr:row>43</xdr:row>
          <xdr:rowOff>139700</xdr:rowOff>
        </xdr:to>
        <xdr:sp macro="" textlink="">
          <xdr:nvSpPr>
            <xdr:cNvPr id="5285" name="Check Box 165" hidden="1">
              <a:extLst>
                <a:ext uri="{63B3BB69-23CF-44E3-9099-C40C66FF867C}">
                  <a14:compatExt spid="_x0000_s5285"/>
                </a:ext>
                <a:ext uri="{FF2B5EF4-FFF2-40B4-BE49-F238E27FC236}">
                  <a16:creationId xmlns:a16="http://schemas.microsoft.com/office/drawing/2014/main" id="{00000000-0008-0000-0700-0000A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44</xdr:row>
          <xdr:rowOff>50800</xdr:rowOff>
        </xdr:from>
        <xdr:to>
          <xdr:col>4</xdr:col>
          <xdr:colOff>146050</xdr:colOff>
          <xdr:row>44</xdr:row>
          <xdr:rowOff>139700</xdr:rowOff>
        </xdr:to>
        <xdr:sp macro="" textlink="">
          <xdr:nvSpPr>
            <xdr:cNvPr id="5286" name="Check Box 166" hidden="1">
              <a:extLst>
                <a:ext uri="{63B3BB69-23CF-44E3-9099-C40C66FF867C}">
                  <a14:compatExt spid="_x0000_s5286"/>
                </a:ext>
                <a:ext uri="{FF2B5EF4-FFF2-40B4-BE49-F238E27FC236}">
                  <a16:creationId xmlns:a16="http://schemas.microsoft.com/office/drawing/2014/main" id="{00000000-0008-0000-0700-0000A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45</xdr:row>
          <xdr:rowOff>50800</xdr:rowOff>
        </xdr:from>
        <xdr:to>
          <xdr:col>4</xdr:col>
          <xdr:colOff>146050</xdr:colOff>
          <xdr:row>45</xdr:row>
          <xdr:rowOff>139700</xdr:rowOff>
        </xdr:to>
        <xdr:sp macro="" textlink="">
          <xdr:nvSpPr>
            <xdr:cNvPr id="5287" name="Check Box 167" hidden="1">
              <a:extLst>
                <a:ext uri="{63B3BB69-23CF-44E3-9099-C40C66FF867C}">
                  <a14:compatExt spid="_x0000_s5287"/>
                </a:ext>
                <a:ext uri="{FF2B5EF4-FFF2-40B4-BE49-F238E27FC236}">
                  <a16:creationId xmlns:a16="http://schemas.microsoft.com/office/drawing/2014/main" id="{00000000-0008-0000-0700-0000A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46</xdr:row>
          <xdr:rowOff>50800</xdr:rowOff>
        </xdr:from>
        <xdr:to>
          <xdr:col>4</xdr:col>
          <xdr:colOff>146050</xdr:colOff>
          <xdr:row>46</xdr:row>
          <xdr:rowOff>139700</xdr:rowOff>
        </xdr:to>
        <xdr:sp macro="" textlink="">
          <xdr:nvSpPr>
            <xdr:cNvPr id="5288" name="Check Box 168" hidden="1">
              <a:extLst>
                <a:ext uri="{63B3BB69-23CF-44E3-9099-C40C66FF867C}">
                  <a14:compatExt spid="_x0000_s5288"/>
                </a:ext>
                <a:ext uri="{FF2B5EF4-FFF2-40B4-BE49-F238E27FC236}">
                  <a16:creationId xmlns:a16="http://schemas.microsoft.com/office/drawing/2014/main" id="{00000000-0008-0000-0700-0000A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47</xdr:row>
          <xdr:rowOff>50800</xdr:rowOff>
        </xdr:from>
        <xdr:to>
          <xdr:col>4</xdr:col>
          <xdr:colOff>146050</xdr:colOff>
          <xdr:row>47</xdr:row>
          <xdr:rowOff>139700</xdr:rowOff>
        </xdr:to>
        <xdr:sp macro="" textlink="">
          <xdr:nvSpPr>
            <xdr:cNvPr id="5289" name="Check Box 169" hidden="1">
              <a:extLst>
                <a:ext uri="{63B3BB69-23CF-44E3-9099-C40C66FF867C}">
                  <a14:compatExt spid="_x0000_s5289"/>
                </a:ext>
                <a:ext uri="{FF2B5EF4-FFF2-40B4-BE49-F238E27FC236}">
                  <a16:creationId xmlns:a16="http://schemas.microsoft.com/office/drawing/2014/main" id="{00000000-0008-0000-0700-0000A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48</xdr:row>
          <xdr:rowOff>50800</xdr:rowOff>
        </xdr:from>
        <xdr:to>
          <xdr:col>4</xdr:col>
          <xdr:colOff>146050</xdr:colOff>
          <xdr:row>48</xdr:row>
          <xdr:rowOff>139700</xdr:rowOff>
        </xdr:to>
        <xdr:sp macro="" textlink="">
          <xdr:nvSpPr>
            <xdr:cNvPr id="5290" name="Check Box 170" hidden="1">
              <a:extLst>
                <a:ext uri="{63B3BB69-23CF-44E3-9099-C40C66FF867C}">
                  <a14:compatExt spid="_x0000_s5290"/>
                </a:ext>
                <a:ext uri="{FF2B5EF4-FFF2-40B4-BE49-F238E27FC236}">
                  <a16:creationId xmlns:a16="http://schemas.microsoft.com/office/drawing/2014/main" id="{00000000-0008-0000-0700-0000A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49</xdr:row>
          <xdr:rowOff>50800</xdr:rowOff>
        </xdr:from>
        <xdr:to>
          <xdr:col>4</xdr:col>
          <xdr:colOff>146050</xdr:colOff>
          <xdr:row>49</xdr:row>
          <xdr:rowOff>139700</xdr:rowOff>
        </xdr:to>
        <xdr:sp macro="" textlink="">
          <xdr:nvSpPr>
            <xdr:cNvPr id="5291" name="Check Box 171" hidden="1">
              <a:extLst>
                <a:ext uri="{63B3BB69-23CF-44E3-9099-C40C66FF867C}">
                  <a14:compatExt spid="_x0000_s5291"/>
                </a:ext>
                <a:ext uri="{FF2B5EF4-FFF2-40B4-BE49-F238E27FC236}">
                  <a16:creationId xmlns:a16="http://schemas.microsoft.com/office/drawing/2014/main" id="{00000000-0008-0000-0700-0000A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50</xdr:row>
          <xdr:rowOff>50800</xdr:rowOff>
        </xdr:from>
        <xdr:to>
          <xdr:col>4</xdr:col>
          <xdr:colOff>146050</xdr:colOff>
          <xdr:row>50</xdr:row>
          <xdr:rowOff>139700</xdr:rowOff>
        </xdr:to>
        <xdr:sp macro="" textlink="">
          <xdr:nvSpPr>
            <xdr:cNvPr id="5292" name="Check Box 172" hidden="1">
              <a:extLst>
                <a:ext uri="{63B3BB69-23CF-44E3-9099-C40C66FF867C}">
                  <a14:compatExt spid="_x0000_s5292"/>
                </a:ext>
                <a:ext uri="{FF2B5EF4-FFF2-40B4-BE49-F238E27FC236}">
                  <a16:creationId xmlns:a16="http://schemas.microsoft.com/office/drawing/2014/main" id="{00000000-0008-0000-0700-0000A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51</xdr:row>
          <xdr:rowOff>50800</xdr:rowOff>
        </xdr:from>
        <xdr:to>
          <xdr:col>4</xdr:col>
          <xdr:colOff>146050</xdr:colOff>
          <xdr:row>51</xdr:row>
          <xdr:rowOff>139700</xdr:rowOff>
        </xdr:to>
        <xdr:sp macro="" textlink="">
          <xdr:nvSpPr>
            <xdr:cNvPr id="5293" name="Check Box 173" hidden="1">
              <a:extLst>
                <a:ext uri="{63B3BB69-23CF-44E3-9099-C40C66FF867C}">
                  <a14:compatExt spid="_x0000_s5293"/>
                </a:ext>
                <a:ext uri="{FF2B5EF4-FFF2-40B4-BE49-F238E27FC236}">
                  <a16:creationId xmlns:a16="http://schemas.microsoft.com/office/drawing/2014/main" id="{00000000-0008-0000-0700-0000A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52</xdr:row>
          <xdr:rowOff>50800</xdr:rowOff>
        </xdr:from>
        <xdr:to>
          <xdr:col>4</xdr:col>
          <xdr:colOff>146050</xdr:colOff>
          <xdr:row>52</xdr:row>
          <xdr:rowOff>139700</xdr:rowOff>
        </xdr:to>
        <xdr:sp macro="" textlink="">
          <xdr:nvSpPr>
            <xdr:cNvPr id="5294" name="Check Box 174" hidden="1">
              <a:extLst>
                <a:ext uri="{63B3BB69-23CF-44E3-9099-C40C66FF867C}">
                  <a14:compatExt spid="_x0000_s5294"/>
                </a:ext>
                <a:ext uri="{FF2B5EF4-FFF2-40B4-BE49-F238E27FC236}">
                  <a16:creationId xmlns:a16="http://schemas.microsoft.com/office/drawing/2014/main" id="{00000000-0008-0000-0700-0000A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53</xdr:row>
          <xdr:rowOff>50800</xdr:rowOff>
        </xdr:from>
        <xdr:to>
          <xdr:col>4</xdr:col>
          <xdr:colOff>146050</xdr:colOff>
          <xdr:row>53</xdr:row>
          <xdr:rowOff>139700</xdr:rowOff>
        </xdr:to>
        <xdr:sp macro="" textlink="">
          <xdr:nvSpPr>
            <xdr:cNvPr id="5295" name="Check Box 175" hidden="1">
              <a:extLst>
                <a:ext uri="{63B3BB69-23CF-44E3-9099-C40C66FF867C}">
                  <a14:compatExt spid="_x0000_s5295"/>
                </a:ext>
                <a:ext uri="{FF2B5EF4-FFF2-40B4-BE49-F238E27FC236}">
                  <a16:creationId xmlns:a16="http://schemas.microsoft.com/office/drawing/2014/main" id="{00000000-0008-0000-0700-0000A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54</xdr:row>
          <xdr:rowOff>50800</xdr:rowOff>
        </xdr:from>
        <xdr:to>
          <xdr:col>4</xdr:col>
          <xdr:colOff>146050</xdr:colOff>
          <xdr:row>54</xdr:row>
          <xdr:rowOff>139700</xdr:rowOff>
        </xdr:to>
        <xdr:sp macro="" textlink="">
          <xdr:nvSpPr>
            <xdr:cNvPr id="5296" name="Check Box 176" hidden="1">
              <a:extLst>
                <a:ext uri="{63B3BB69-23CF-44E3-9099-C40C66FF867C}">
                  <a14:compatExt spid="_x0000_s5296"/>
                </a:ext>
                <a:ext uri="{FF2B5EF4-FFF2-40B4-BE49-F238E27FC236}">
                  <a16:creationId xmlns:a16="http://schemas.microsoft.com/office/drawing/2014/main" id="{00000000-0008-0000-0700-0000B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55</xdr:row>
          <xdr:rowOff>50800</xdr:rowOff>
        </xdr:from>
        <xdr:to>
          <xdr:col>4</xdr:col>
          <xdr:colOff>146050</xdr:colOff>
          <xdr:row>55</xdr:row>
          <xdr:rowOff>139700</xdr:rowOff>
        </xdr:to>
        <xdr:sp macro="" textlink="">
          <xdr:nvSpPr>
            <xdr:cNvPr id="5297" name="Check Box 177" hidden="1">
              <a:extLst>
                <a:ext uri="{63B3BB69-23CF-44E3-9099-C40C66FF867C}">
                  <a14:compatExt spid="_x0000_s5297"/>
                </a:ext>
                <a:ext uri="{FF2B5EF4-FFF2-40B4-BE49-F238E27FC236}">
                  <a16:creationId xmlns:a16="http://schemas.microsoft.com/office/drawing/2014/main" id="{00000000-0008-0000-0700-0000B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56</xdr:row>
          <xdr:rowOff>50800</xdr:rowOff>
        </xdr:from>
        <xdr:to>
          <xdr:col>4</xdr:col>
          <xdr:colOff>146050</xdr:colOff>
          <xdr:row>56</xdr:row>
          <xdr:rowOff>139700</xdr:rowOff>
        </xdr:to>
        <xdr:sp macro="" textlink="">
          <xdr:nvSpPr>
            <xdr:cNvPr id="5298" name="Check Box 178" hidden="1">
              <a:extLst>
                <a:ext uri="{63B3BB69-23CF-44E3-9099-C40C66FF867C}">
                  <a14:compatExt spid="_x0000_s5298"/>
                </a:ext>
                <a:ext uri="{FF2B5EF4-FFF2-40B4-BE49-F238E27FC236}">
                  <a16:creationId xmlns:a16="http://schemas.microsoft.com/office/drawing/2014/main" id="{00000000-0008-0000-0700-0000B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57</xdr:row>
          <xdr:rowOff>50800</xdr:rowOff>
        </xdr:from>
        <xdr:to>
          <xdr:col>4</xdr:col>
          <xdr:colOff>146050</xdr:colOff>
          <xdr:row>57</xdr:row>
          <xdr:rowOff>139700</xdr:rowOff>
        </xdr:to>
        <xdr:sp macro="" textlink="">
          <xdr:nvSpPr>
            <xdr:cNvPr id="5299" name="Check Box 179" hidden="1">
              <a:extLst>
                <a:ext uri="{63B3BB69-23CF-44E3-9099-C40C66FF867C}">
                  <a14:compatExt spid="_x0000_s5299"/>
                </a:ext>
                <a:ext uri="{FF2B5EF4-FFF2-40B4-BE49-F238E27FC236}">
                  <a16:creationId xmlns:a16="http://schemas.microsoft.com/office/drawing/2014/main" id="{00000000-0008-0000-0700-0000B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58</xdr:row>
          <xdr:rowOff>50800</xdr:rowOff>
        </xdr:from>
        <xdr:to>
          <xdr:col>4</xdr:col>
          <xdr:colOff>146050</xdr:colOff>
          <xdr:row>58</xdr:row>
          <xdr:rowOff>139700</xdr:rowOff>
        </xdr:to>
        <xdr:sp macro="" textlink="">
          <xdr:nvSpPr>
            <xdr:cNvPr id="5300" name="Check Box 180" hidden="1">
              <a:extLst>
                <a:ext uri="{63B3BB69-23CF-44E3-9099-C40C66FF867C}">
                  <a14:compatExt spid="_x0000_s5300"/>
                </a:ext>
                <a:ext uri="{FF2B5EF4-FFF2-40B4-BE49-F238E27FC236}">
                  <a16:creationId xmlns:a16="http://schemas.microsoft.com/office/drawing/2014/main" id="{00000000-0008-0000-0700-0000B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59</xdr:row>
          <xdr:rowOff>50800</xdr:rowOff>
        </xdr:from>
        <xdr:to>
          <xdr:col>4</xdr:col>
          <xdr:colOff>146050</xdr:colOff>
          <xdr:row>59</xdr:row>
          <xdr:rowOff>139700</xdr:rowOff>
        </xdr:to>
        <xdr:sp macro="" textlink="">
          <xdr:nvSpPr>
            <xdr:cNvPr id="5301" name="Check Box 181" hidden="1">
              <a:extLst>
                <a:ext uri="{63B3BB69-23CF-44E3-9099-C40C66FF867C}">
                  <a14:compatExt spid="_x0000_s5301"/>
                </a:ext>
                <a:ext uri="{FF2B5EF4-FFF2-40B4-BE49-F238E27FC236}">
                  <a16:creationId xmlns:a16="http://schemas.microsoft.com/office/drawing/2014/main" id="{00000000-0008-0000-0700-0000B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60</xdr:row>
          <xdr:rowOff>50800</xdr:rowOff>
        </xdr:from>
        <xdr:to>
          <xdr:col>4</xdr:col>
          <xdr:colOff>146050</xdr:colOff>
          <xdr:row>60</xdr:row>
          <xdr:rowOff>139700</xdr:rowOff>
        </xdr:to>
        <xdr:sp macro="" textlink="">
          <xdr:nvSpPr>
            <xdr:cNvPr id="5302" name="Check Box 182" hidden="1">
              <a:extLst>
                <a:ext uri="{63B3BB69-23CF-44E3-9099-C40C66FF867C}">
                  <a14:compatExt spid="_x0000_s5302"/>
                </a:ext>
                <a:ext uri="{FF2B5EF4-FFF2-40B4-BE49-F238E27FC236}">
                  <a16:creationId xmlns:a16="http://schemas.microsoft.com/office/drawing/2014/main" id="{00000000-0008-0000-0700-0000B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61</xdr:row>
          <xdr:rowOff>50800</xdr:rowOff>
        </xdr:from>
        <xdr:to>
          <xdr:col>4</xdr:col>
          <xdr:colOff>146050</xdr:colOff>
          <xdr:row>61</xdr:row>
          <xdr:rowOff>139700</xdr:rowOff>
        </xdr:to>
        <xdr:sp macro="" textlink="">
          <xdr:nvSpPr>
            <xdr:cNvPr id="5303" name="Check Box 183" hidden="1">
              <a:extLst>
                <a:ext uri="{63B3BB69-23CF-44E3-9099-C40C66FF867C}">
                  <a14:compatExt spid="_x0000_s5303"/>
                </a:ext>
                <a:ext uri="{FF2B5EF4-FFF2-40B4-BE49-F238E27FC236}">
                  <a16:creationId xmlns:a16="http://schemas.microsoft.com/office/drawing/2014/main" id="{00000000-0008-0000-0700-0000B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62</xdr:row>
          <xdr:rowOff>50800</xdr:rowOff>
        </xdr:from>
        <xdr:to>
          <xdr:col>4</xdr:col>
          <xdr:colOff>146050</xdr:colOff>
          <xdr:row>62</xdr:row>
          <xdr:rowOff>139700</xdr:rowOff>
        </xdr:to>
        <xdr:sp macro="" textlink="">
          <xdr:nvSpPr>
            <xdr:cNvPr id="5304" name="Check Box 184" hidden="1">
              <a:extLst>
                <a:ext uri="{63B3BB69-23CF-44E3-9099-C40C66FF867C}">
                  <a14:compatExt spid="_x0000_s5304"/>
                </a:ext>
                <a:ext uri="{FF2B5EF4-FFF2-40B4-BE49-F238E27FC236}">
                  <a16:creationId xmlns:a16="http://schemas.microsoft.com/office/drawing/2014/main" id="{00000000-0008-0000-0700-0000B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63</xdr:row>
          <xdr:rowOff>50800</xdr:rowOff>
        </xdr:from>
        <xdr:to>
          <xdr:col>4</xdr:col>
          <xdr:colOff>146050</xdr:colOff>
          <xdr:row>63</xdr:row>
          <xdr:rowOff>139700</xdr:rowOff>
        </xdr:to>
        <xdr:sp macro="" textlink="">
          <xdr:nvSpPr>
            <xdr:cNvPr id="5305" name="Check Box 185" hidden="1">
              <a:extLst>
                <a:ext uri="{63B3BB69-23CF-44E3-9099-C40C66FF867C}">
                  <a14:compatExt spid="_x0000_s5305"/>
                </a:ext>
                <a:ext uri="{FF2B5EF4-FFF2-40B4-BE49-F238E27FC236}">
                  <a16:creationId xmlns:a16="http://schemas.microsoft.com/office/drawing/2014/main" id="{00000000-0008-0000-0700-0000B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64</xdr:row>
          <xdr:rowOff>50800</xdr:rowOff>
        </xdr:from>
        <xdr:to>
          <xdr:col>4</xdr:col>
          <xdr:colOff>146050</xdr:colOff>
          <xdr:row>64</xdr:row>
          <xdr:rowOff>139700</xdr:rowOff>
        </xdr:to>
        <xdr:sp macro="" textlink="">
          <xdr:nvSpPr>
            <xdr:cNvPr id="5306" name="Check Box 186" hidden="1">
              <a:extLst>
                <a:ext uri="{63B3BB69-23CF-44E3-9099-C40C66FF867C}">
                  <a14:compatExt spid="_x0000_s5306"/>
                </a:ext>
                <a:ext uri="{FF2B5EF4-FFF2-40B4-BE49-F238E27FC236}">
                  <a16:creationId xmlns:a16="http://schemas.microsoft.com/office/drawing/2014/main" id="{00000000-0008-0000-0700-0000B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xdr:twoCellAnchor>
    <xdr:from>
      <xdr:col>4</xdr:col>
      <xdr:colOff>527324</xdr:colOff>
      <xdr:row>3</xdr:row>
      <xdr:rowOff>127000</xdr:rowOff>
    </xdr:from>
    <xdr:to>
      <xdr:col>16</xdr:col>
      <xdr:colOff>228600</xdr:colOff>
      <xdr:row>22</xdr:row>
      <xdr:rowOff>87797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7BAB45-7447-552D-4DF8-24609DBD43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196850</xdr:colOff>
          <xdr:row>1</xdr:row>
          <xdr:rowOff>196850</xdr:rowOff>
        </xdr:from>
        <xdr:to>
          <xdr:col>4</xdr:col>
          <xdr:colOff>203200</xdr:colOff>
          <xdr:row>3</xdr:row>
          <xdr:rowOff>0</xdr:rowOff>
        </xdr:to>
        <xdr:sp macro="" textlink="">
          <xdr:nvSpPr>
            <xdr:cNvPr id="6147" name="Check Box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8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196850</xdr:colOff>
          <xdr:row>2</xdr:row>
          <xdr:rowOff>196850</xdr:rowOff>
        </xdr:from>
        <xdr:to>
          <xdr:col>4</xdr:col>
          <xdr:colOff>203200</xdr:colOff>
          <xdr:row>4</xdr:row>
          <xdr:rowOff>0</xdr:rowOff>
        </xdr:to>
        <xdr:sp macro="" textlink="">
          <xdr:nvSpPr>
            <xdr:cNvPr id="6148" name="Check Box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8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196850</xdr:colOff>
          <xdr:row>3</xdr:row>
          <xdr:rowOff>196850</xdr:rowOff>
        </xdr:from>
        <xdr:to>
          <xdr:col>4</xdr:col>
          <xdr:colOff>203200</xdr:colOff>
          <xdr:row>5</xdr:row>
          <xdr:rowOff>0</xdr:rowOff>
        </xdr:to>
        <xdr:sp macro="" textlink="">
          <xdr:nvSpPr>
            <xdr:cNvPr id="6149" name="Check Box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8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196850</xdr:colOff>
          <xdr:row>4</xdr:row>
          <xdr:rowOff>196850</xdr:rowOff>
        </xdr:from>
        <xdr:to>
          <xdr:col>4</xdr:col>
          <xdr:colOff>203200</xdr:colOff>
          <xdr:row>6</xdr:row>
          <xdr:rowOff>0</xdr:rowOff>
        </xdr:to>
        <xdr:sp macro="" textlink="">
          <xdr:nvSpPr>
            <xdr:cNvPr id="6150" name="Check Box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8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196850</xdr:colOff>
          <xdr:row>4</xdr:row>
          <xdr:rowOff>196850</xdr:rowOff>
        </xdr:from>
        <xdr:to>
          <xdr:col>4</xdr:col>
          <xdr:colOff>203200</xdr:colOff>
          <xdr:row>6</xdr:row>
          <xdr:rowOff>0</xdr:rowOff>
        </xdr:to>
        <xdr:sp macro="" textlink="">
          <xdr:nvSpPr>
            <xdr:cNvPr id="6151" name="Check Box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8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196850</xdr:colOff>
          <xdr:row>5</xdr:row>
          <xdr:rowOff>196850</xdr:rowOff>
        </xdr:from>
        <xdr:to>
          <xdr:col>4</xdr:col>
          <xdr:colOff>203200</xdr:colOff>
          <xdr:row>7</xdr:row>
          <xdr:rowOff>0</xdr:rowOff>
        </xdr:to>
        <xdr:sp macro="" textlink="">
          <xdr:nvSpPr>
            <xdr:cNvPr id="6152" name="Check Box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8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196850</xdr:colOff>
          <xdr:row>5</xdr:row>
          <xdr:rowOff>196850</xdr:rowOff>
        </xdr:from>
        <xdr:to>
          <xdr:col>4</xdr:col>
          <xdr:colOff>203200</xdr:colOff>
          <xdr:row>7</xdr:row>
          <xdr:rowOff>0</xdr:rowOff>
        </xdr:to>
        <xdr:sp macro="" textlink="">
          <xdr:nvSpPr>
            <xdr:cNvPr id="6153" name="Check Box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00000000-0008-0000-0800-00000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196850</xdr:colOff>
          <xdr:row>6</xdr:row>
          <xdr:rowOff>196850</xdr:rowOff>
        </xdr:from>
        <xdr:to>
          <xdr:col>4</xdr:col>
          <xdr:colOff>203200</xdr:colOff>
          <xdr:row>8</xdr:row>
          <xdr:rowOff>0</xdr:rowOff>
        </xdr:to>
        <xdr:sp macro="" textlink="">
          <xdr:nvSpPr>
            <xdr:cNvPr id="6154" name="Check Box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8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196850</xdr:colOff>
          <xdr:row>6</xdr:row>
          <xdr:rowOff>196850</xdr:rowOff>
        </xdr:from>
        <xdr:to>
          <xdr:col>4</xdr:col>
          <xdr:colOff>203200</xdr:colOff>
          <xdr:row>8</xdr:row>
          <xdr:rowOff>0</xdr:rowOff>
        </xdr:to>
        <xdr:sp macro="" textlink="">
          <xdr:nvSpPr>
            <xdr:cNvPr id="6155" name="Check Box 11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00000000-0008-0000-0800-00000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196850</xdr:colOff>
          <xdr:row>7</xdr:row>
          <xdr:rowOff>196850</xdr:rowOff>
        </xdr:from>
        <xdr:to>
          <xdr:col>4</xdr:col>
          <xdr:colOff>203200</xdr:colOff>
          <xdr:row>9</xdr:row>
          <xdr:rowOff>0</xdr:rowOff>
        </xdr:to>
        <xdr:sp macro="" textlink="">
          <xdr:nvSpPr>
            <xdr:cNvPr id="6156" name="Check Box 12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00000000-0008-0000-0800-00000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196850</xdr:colOff>
          <xdr:row>7</xdr:row>
          <xdr:rowOff>196850</xdr:rowOff>
        </xdr:from>
        <xdr:to>
          <xdr:col>4</xdr:col>
          <xdr:colOff>203200</xdr:colOff>
          <xdr:row>9</xdr:row>
          <xdr:rowOff>0</xdr:rowOff>
        </xdr:to>
        <xdr:sp macro="" textlink="">
          <xdr:nvSpPr>
            <xdr:cNvPr id="6157" name="Check Box 13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00000000-0008-0000-0800-00000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196850</xdr:colOff>
          <xdr:row>8</xdr:row>
          <xdr:rowOff>196850</xdr:rowOff>
        </xdr:from>
        <xdr:to>
          <xdr:col>4</xdr:col>
          <xdr:colOff>203200</xdr:colOff>
          <xdr:row>10</xdr:row>
          <xdr:rowOff>0</xdr:rowOff>
        </xdr:to>
        <xdr:sp macro="" textlink="">
          <xdr:nvSpPr>
            <xdr:cNvPr id="6158" name="Check Box 14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00000000-0008-0000-0800-00000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196850</xdr:colOff>
          <xdr:row>8</xdr:row>
          <xdr:rowOff>196850</xdr:rowOff>
        </xdr:from>
        <xdr:to>
          <xdr:col>4</xdr:col>
          <xdr:colOff>203200</xdr:colOff>
          <xdr:row>10</xdr:row>
          <xdr:rowOff>0</xdr:rowOff>
        </xdr:to>
        <xdr:sp macro="" textlink="">
          <xdr:nvSpPr>
            <xdr:cNvPr id="6159" name="Check Box 15" hidden="1">
              <a:extLst>
                <a:ext uri="{63B3BB69-23CF-44E3-9099-C40C66FF867C}">
                  <a14:compatExt spid="_x0000_s6159"/>
                </a:ext>
                <a:ext uri="{FF2B5EF4-FFF2-40B4-BE49-F238E27FC236}">
                  <a16:creationId xmlns:a16="http://schemas.microsoft.com/office/drawing/2014/main" id="{00000000-0008-0000-0800-00000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196850</xdr:colOff>
          <xdr:row>9</xdr:row>
          <xdr:rowOff>196850</xdr:rowOff>
        </xdr:from>
        <xdr:to>
          <xdr:col>4</xdr:col>
          <xdr:colOff>203200</xdr:colOff>
          <xdr:row>11</xdr:row>
          <xdr:rowOff>0</xdr:rowOff>
        </xdr:to>
        <xdr:sp macro="" textlink="">
          <xdr:nvSpPr>
            <xdr:cNvPr id="6160" name="Check Box 16" hidden="1">
              <a:extLst>
                <a:ext uri="{63B3BB69-23CF-44E3-9099-C40C66FF867C}">
                  <a14:compatExt spid="_x0000_s6160"/>
                </a:ext>
                <a:ext uri="{FF2B5EF4-FFF2-40B4-BE49-F238E27FC236}">
                  <a16:creationId xmlns:a16="http://schemas.microsoft.com/office/drawing/2014/main" id="{00000000-0008-0000-0800-00001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196850</xdr:colOff>
          <xdr:row>9</xdr:row>
          <xdr:rowOff>196850</xdr:rowOff>
        </xdr:from>
        <xdr:to>
          <xdr:col>4</xdr:col>
          <xdr:colOff>203200</xdr:colOff>
          <xdr:row>11</xdr:row>
          <xdr:rowOff>0</xdr:rowOff>
        </xdr:to>
        <xdr:sp macro="" textlink="">
          <xdr:nvSpPr>
            <xdr:cNvPr id="6161" name="Check Box 17" hidden="1">
              <a:extLst>
                <a:ext uri="{63B3BB69-23CF-44E3-9099-C40C66FF867C}">
                  <a14:compatExt spid="_x0000_s6161"/>
                </a:ext>
                <a:ext uri="{FF2B5EF4-FFF2-40B4-BE49-F238E27FC236}">
                  <a16:creationId xmlns:a16="http://schemas.microsoft.com/office/drawing/2014/main" id="{00000000-0008-0000-0800-00001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196850</xdr:colOff>
          <xdr:row>10</xdr:row>
          <xdr:rowOff>196850</xdr:rowOff>
        </xdr:from>
        <xdr:to>
          <xdr:col>4</xdr:col>
          <xdr:colOff>203200</xdr:colOff>
          <xdr:row>12</xdr:row>
          <xdr:rowOff>0</xdr:rowOff>
        </xdr:to>
        <xdr:sp macro="" textlink="">
          <xdr:nvSpPr>
            <xdr:cNvPr id="6162" name="Check Box 18" hidden="1">
              <a:extLst>
                <a:ext uri="{63B3BB69-23CF-44E3-9099-C40C66FF867C}">
                  <a14:compatExt spid="_x0000_s6162"/>
                </a:ext>
                <a:ext uri="{FF2B5EF4-FFF2-40B4-BE49-F238E27FC236}">
                  <a16:creationId xmlns:a16="http://schemas.microsoft.com/office/drawing/2014/main" id="{00000000-0008-0000-0800-00001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196850</xdr:colOff>
          <xdr:row>10</xdr:row>
          <xdr:rowOff>196850</xdr:rowOff>
        </xdr:from>
        <xdr:to>
          <xdr:col>4</xdr:col>
          <xdr:colOff>203200</xdr:colOff>
          <xdr:row>12</xdr:row>
          <xdr:rowOff>0</xdr:rowOff>
        </xdr:to>
        <xdr:sp macro="" textlink="">
          <xdr:nvSpPr>
            <xdr:cNvPr id="6163" name="Check Box 19" hidden="1">
              <a:extLst>
                <a:ext uri="{63B3BB69-23CF-44E3-9099-C40C66FF867C}">
                  <a14:compatExt spid="_x0000_s6163"/>
                </a:ext>
                <a:ext uri="{FF2B5EF4-FFF2-40B4-BE49-F238E27FC236}">
                  <a16:creationId xmlns:a16="http://schemas.microsoft.com/office/drawing/2014/main" id="{00000000-0008-0000-0800-00001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196850</xdr:colOff>
          <xdr:row>11</xdr:row>
          <xdr:rowOff>196850</xdr:rowOff>
        </xdr:from>
        <xdr:to>
          <xdr:col>4</xdr:col>
          <xdr:colOff>203200</xdr:colOff>
          <xdr:row>13</xdr:row>
          <xdr:rowOff>0</xdr:rowOff>
        </xdr:to>
        <xdr:sp macro="" textlink="">
          <xdr:nvSpPr>
            <xdr:cNvPr id="6164" name="Check Box 20" hidden="1">
              <a:extLst>
                <a:ext uri="{63B3BB69-23CF-44E3-9099-C40C66FF867C}">
                  <a14:compatExt spid="_x0000_s6164"/>
                </a:ext>
                <a:ext uri="{FF2B5EF4-FFF2-40B4-BE49-F238E27FC236}">
                  <a16:creationId xmlns:a16="http://schemas.microsoft.com/office/drawing/2014/main" id="{00000000-0008-0000-0800-00001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196850</xdr:colOff>
          <xdr:row>11</xdr:row>
          <xdr:rowOff>196850</xdr:rowOff>
        </xdr:from>
        <xdr:to>
          <xdr:col>4</xdr:col>
          <xdr:colOff>203200</xdr:colOff>
          <xdr:row>13</xdr:row>
          <xdr:rowOff>0</xdr:rowOff>
        </xdr:to>
        <xdr:sp macro="" textlink="">
          <xdr:nvSpPr>
            <xdr:cNvPr id="6165" name="Check Box 21" hidden="1">
              <a:extLst>
                <a:ext uri="{63B3BB69-23CF-44E3-9099-C40C66FF867C}">
                  <a14:compatExt spid="_x0000_s6165"/>
                </a:ext>
                <a:ext uri="{FF2B5EF4-FFF2-40B4-BE49-F238E27FC236}">
                  <a16:creationId xmlns:a16="http://schemas.microsoft.com/office/drawing/2014/main" id="{00000000-0008-0000-0800-00001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196850</xdr:colOff>
          <xdr:row>12</xdr:row>
          <xdr:rowOff>196850</xdr:rowOff>
        </xdr:from>
        <xdr:to>
          <xdr:col>4</xdr:col>
          <xdr:colOff>203200</xdr:colOff>
          <xdr:row>14</xdr:row>
          <xdr:rowOff>0</xdr:rowOff>
        </xdr:to>
        <xdr:sp macro="" textlink="">
          <xdr:nvSpPr>
            <xdr:cNvPr id="6166" name="Check Box 22" hidden="1">
              <a:extLst>
                <a:ext uri="{63B3BB69-23CF-44E3-9099-C40C66FF867C}">
                  <a14:compatExt spid="_x0000_s6166"/>
                </a:ext>
                <a:ext uri="{FF2B5EF4-FFF2-40B4-BE49-F238E27FC236}">
                  <a16:creationId xmlns:a16="http://schemas.microsoft.com/office/drawing/2014/main" id="{00000000-0008-0000-0800-00001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196850</xdr:colOff>
          <xdr:row>12</xdr:row>
          <xdr:rowOff>196850</xdr:rowOff>
        </xdr:from>
        <xdr:to>
          <xdr:col>4</xdr:col>
          <xdr:colOff>203200</xdr:colOff>
          <xdr:row>14</xdr:row>
          <xdr:rowOff>0</xdr:rowOff>
        </xdr:to>
        <xdr:sp macro="" textlink="">
          <xdr:nvSpPr>
            <xdr:cNvPr id="6167" name="Check Box 23" hidden="1">
              <a:extLst>
                <a:ext uri="{63B3BB69-23CF-44E3-9099-C40C66FF867C}">
                  <a14:compatExt spid="_x0000_s6167"/>
                </a:ext>
                <a:ext uri="{FF2B5EF4-FFF2-40B4-BE49-F238E27FC236}">
                  <a16:creationId xmlns:a16="http://schemas.microsoft.com/office/drawing/2014/main" id="{00000000-0008-0000-0800-00001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196850</xdr:colOff>
          <xdr:row>13</xdr:row>
          <xdr:rowOff>196850</xdr:rowOff>
        </xdr:from>
        <xdr:to>
          <xdr:col>4</xdr:col>
          <xdr:colOff>203200</xdr:colOff>
          <xdr:row>15</xdr:row>
          <xdr:rowOff>0</xdr:rowOff>
        </xdr:to>
        <xdr:sp macro="" textlink="">
          <xdr:nvSpPr>
            <xdr:cNvPr id="6168" name="Check Box 24" hidden="1">
              <a:extLst>
                <a:ext uri="{63B3BB69-23CF-44E3-9099-C40C66FF867C}">
                  <a14:compatExt spid="_x0000_s6168"/>
                </a:ext>
                <a:ext uri="{FF2B5EF4-FFF2-40B4-BE49-F238E27FC236}">
                  <a16:creationId xmlns:a16="http://schemas.microsoft.com/office/drawing/2014/main" id="{00000000-0008-0000-0800-00001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196850</xdr:colOff>
          <xdr:row>13</xdr:row>
          <xdr:rowOff>196850</xdr:rowOff>
        </xdr:from>
        <xdr:to>
          <xdr:col>4</xdr:col>
          <xdr:colOff>203200</xdr:colOff>
          <xdr:row>15</xdr:row>
          <xdr:rowOff>0</xdr:rowOff>
        </xdr:to>
        <xdr:sp macro="" textlink="">
          <xdr:nvSpPr>
            <xdr:cNvPr id="6169" name="Check Box 25" hidden="1">
              <a:extLst>
                <a:ext uri="{63B3BB69-23CF-44E3-9099-C40C66FF867C}">
                  <a14:compatExt spid="_x0000_s6169"/>
                </a:ext>
                <a:ext uri="{FF2B5EF4-FFF2-40B4-BE49-F238E27FC236}">
                  <a16:creationId xmlns:a16="http://schemas.microsoft.com/office/drawing/2014/main" id="{00000000-0008-0000-0800-00001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196850</xdr:colOff>
          <xdr:row>14</xdr:row>
          <xdr:rowOff>196850</xdr:rowOff>
        </xdr:from>
        <xdr:to>
          <xdr:col>4</xdr:col>
          <xdr:colOff>203200</xdr:colOff>
          <xdr:row>16</xdr:row>
          <xdr:rowOff>0</xdr:rowOff>
        </xdr:to>
        <xdr:sp macro="" textlink="">
          <xdr:nvSpPr>
            <xdr:cNvPr id="6170" name="Check Box 26" hidden="1">
              <a:extLst>
                <a:ext uri="{63B3BB69-23CF-44E3-9099-C40C66FF867C}">
                  <a14:compatExt spid="_x0000_s6170"/>
                </a:ext>
                <a:ext uri="{FF2B5EF4-FFF2-40B4-BE49-F238E27FC236}">
                  <a16:creationId xmlns:a16="http://schemas.microsoft.com/office/drawing/2014/main" id="{00000000-0008-0000-0800-00001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196850</xdr:colOff>
          <xdr:row>14</xdr:row>
          <xdr:rowOff>196850</xdr:rowOff>
        </xdr:from>
        <xdr:to>
          <xdr:col>4</xdr:col>
          <xdr:colOff>203200</xdr:colOff>
          <xdr:row>16</xdr:row>
          <xdr:rowOff>0</xdr:rowOff>
        </xdr:to>
        <xdr:sp macro="" textlink="">
          <xdr:nvSpPr>
            <xdr:cNvPr id="6171" name="Check Box 27" hidden="1">
              <a:extLst>
                <a:ext uri="{63B3BB69-23CF-44E3-9099-C40C66FF867C}">
                  <a14:compatExt spid="_x0000_s6171"/>
                </a:ext>
                <a:ext uri="{FF2B5EF4-FFF2-40B4-BE49-F238E27FC236}">
                  <a16:creationId xmlns:a16="http://schemas.microsoft.com/office/drawing/2014/main" id="{00000000-0008-0000-0800-00001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196850</xdr:colOff>
          <xdr:row>15</xdr:row>
          <xdr:rowOff>196850</xdr:rowOff>
        </xdr:from>
        <xdr:to>
          <xdr:col>4</xdr:col>
          <xdr:colOff>203200</xdr:colOff>
          <xdr:row>17</xdr:row>
          <xdr:rowOff>0</xdr:rowOff>
        </xdr:to>
        <xdr:sp macro="" textlink="">
          <xdr:nvSpPr>
            <xdr:cNvPr id="6172" name="Check Box 28" hidden="1">
              <a:extLst>
                <a:ext uri="{63B3BB69-23CF-44E3-9099-C40C66FF867C}">
                  <a14:compatExt spid="_x0000_s6172"/>
                </a:ext>
                <a:ext uri="{FF2B5EF4-FFF2-40B4-BE49-F238E27FC236}">
                  <a16:creationId xmlns:a16="http://schemas.microsoft.com/office/drawing/2014/main" id="{00000000-0008-0000-0800-00001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196850</xdr:colOff>
          <xdr:row>15</xdr:row>
          <xdr:rowOff>196850</xdr:rowOff>
        </xdr:from>
        <xdr:to>
          <xdr:col>4</xdr:col>
          <xdr:colOff>203200</xdr:colOff>
          <xdr:row>17</xdr:row>
          <xdr:rowOff>0</xdr:rowOff>
        </xdr:to>
        <xdr:sp macro="" textlink="">
          <xdr:nvSpPr>
            <xdr:cNvPr id="6173" name="Check Box 29" hidden="1">
              <a:extLst>
                <a:ext uri="{63B3BB69-23CF-44E3-9099-C40C66FF867C}">
                  <a14:compatExt spid="_x0000_s6173"/>
                </a:ext>
                <a:ext uri="{FF2B5EF4-FFF2-40B4-BE49-F238E27FC236}">
                  <a16:creationId xmlns:a16="http://schemas.microsoft.com/office/drawing/2014/main" id="{00000000-0008-0000-0800-00001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196850</xdr:colOff>
          <xdr:row>16</xdr:row>
          <xdr:rowOff>196850</xdr:rowOff>
        </xdr:from>
        <xdr:to>
          <xdr:col>4</xdr:col>
          <xdr:colOff>203200</xdr:colOff>
          <xdr:row>18</xdr:row>
          <xdr:rowOff>0</xdr:rowOff>
        </xdr:to>
        <xdr:sp macro="" textlink="">
          <xdr:nvSpPr>
            <xdr:cNvPr id="6174" name="Check Box 30" hidden="1">
              <a:extLst>
                <a:ext uri="{63B3BB69-23CF-44E3-9099-C40C66FF867C}">
                  <a14:compatExt spid="_x0000_s6174"/>
                </a:ext>
                <a:ext uri="{FF2B5EF4-FFF2-40B4-BE49-F238E27FC236}">
                  <a16:creationId xmlns:a16="http://schemas.microsoft.com/office/drawing/2014/main" id="{00000000-0008-0000-0800-00001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196850</xdr:colOff>
          <xdr:row>16</xdr:row>
          <xdr:rowOff>196850</xdr:rowOff>
        </xdr:from>
        <xdr:to>
          <xdr:col>4</xdr:col>
          <xdr:colOff>203200</xdr:colOff>
          <xdr:row>18</xdr:row>
          <xdr:rowOff>0</xdr:rowOff>
        </xdr:to>
        <xdr:sp macro="" textlink="">
          <xdr:nvSpPr>
            <xdr:cNvPr id="6175" name="Check Box 31" hidden="1">
              <a:extLst>
                <a:ext uri="{63B3BB69-23CF-44E3-9099-C40C66FF867C}">
                  <a14:compatExt spid="_x0000_s6175"/>
                </a:ext>
                <a:ext uri="{FF2B5EF4-FFF2-40B4-BE49-F238E27FC236}">
                  <a16:creationId xmlns:a16="http://schemas.microsoft.com/office/drawing/2014/main" id="{00000000-0008-0000-0800-00001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196850</xdr:colOff>
          <xdr:row>17</xdr:row>
          <xdr:rowOff>196850</xdr:rowOff>
        </xdr:from>
        <xdr:to>
          <xdr:col>4</xdr:col>
          <xdr:colOff>203200</xdr:colOff>
          <xdr:row>19</xdr:row>
          <xdr:rowOff>0</xdr:rowOff>
        </xdr:to>
        <xdr:sp macro="" textlink="">
          <xdr:nvSpPr>
            <xdr:cNvPr id="6176" name="Check Box 32" hidden="1">
              <a:extLst>
                <a:ext uri="{63B3BB69-23CF-44E3-9099-C40C66FF867C}">
                  <a14:compatExt spid="_x0000_s6176"/>
                </a:ext>
                <a:ext uri="{FF2B5EF4-FFF2-40B4-BE49-F238E27FC236}">
                  <a16:creationId xmlns:a16="http://schemas.microsoft.com/office/drawing/2014/main" id="{00000000-0008-0000-0800-00002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196850</xdr:colOff>
          <xdr:row>17</xdr:row>
          <xdr:rowOff>196850</xdr:rowOff>
        </xdr:from>
        <xdr:to>
          <xdr:col>4</xdr:col>
          <xdr:colOff>203200</xdr:colOff>
          <xdr:row>19</xdr:row>
          <xdr:rowOff>0</xdr:rowOff>
        </xdr:to>
        <xdr:sp macro="" textlink="">
          <xdr:nvSpPr>
            <xdr:cNvPr id="6177" name="Check Box 33" hidden="1">
              <a:extLst>
                <a:ext uri="{63B3BB69-23CF-44E3-9099-C40C66FF867C}">
                  <a14:compatExt spid="_x0000_s6177"/>
                </a:ext>
                <a:ext uri="{FF2B5EF4-FFF2-40B4-BE49-F238E27FC236}">
                  <a16:creationId xmlns:a16="http://schemas.microsoft.com/office/drawing/2014/main" id="{00000000-0008-0000-0800-00002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196850</xdr:colOff>
          <xdr:row>18</xdr:row>
          <xdr:rowOff>196850</xdr:rowOff>
        </xdr:from>
        <xdr:to>
          <xdr:col>4</xdr:col>
          <xdr:colOff>203200</xdr:colOff>
          <xdr:row>20</xdr:row>
          <xdr:rowOff>0</xdr:rowOff>
        </xdr:to>
        <xdr:sp macro="" textlink="">
          <xdr:nvSpPr>
            <xdr:cNvPr id="6178" name="Check Box 34" hidden="1">
              <a:extLst>
                <a:ext uri="{63B3BB69-23CF-44E3-9099-C40C66FF867C}">
                  <a14:compatExt spid="_x0000_s6178"/>
                </a:ext>
                <a:ext uri="{FF2B5EF4-FFF2-40B4-BE49-F238E27FC236}">
                  <a16:creationId xmlns:a16="http://schemas.microsoft.com/office/drawing/2014/main" id="{00000000-0008-0000-0800-00002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196850</xdr:colOff>
          <xdr:row>18</xdr:row>
          <xdr:rowOff>196850</xdr:rowOff>
        </xdr:from>
        <xdr:to>
          <xdr:col>4</xdr:col>
          <xdr:colOff>203200</xdr:colOff>
          <xdr:row>20</xdr:row>
          <xdr:rowOff>0</xdr:rowOff>
        </xdr:to>
        <xdr:sp macro="" textlink="">
          <xdr:nvSpPr>
            <xdr:cNvPr id="6179" name="Check Box 35" hidden="1">
              <a:extLst>
                <a:ext uri="{63B3BB69-23CF-44E3-9099-C40C66FF867C}">
                  <a14:compatExt spid="_x0000_s6179"/>
                </a:ext>
                <a:ext uri="{FF2B5EF4-FFF2-40B4-BE49-F238E27FC236}">
                  <a16:creationId xmlns:a16="http://schemas.microsoft.com/office/drawing/2014/main" id="{00000000-0008-0000-0800-00002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196850</xdr:colOff>
          <xdr:row>19</xdr:row>
          <xdr:rowOff>196850</xdr:rowOff>
        </xdr:from>
        <xdr:to>
          <xdr:col>4</xdr:col>
          <xdr:colOff>203200</xdr:colOff>
          <xdr:row>21</xdr:row>
          <xdr:rowOff>0</xdr:rowOff>
        </xdr:to>
        <xdr:sp macro="" textlink="">
          <xdr:nvSpPr>
            <xdr:cNvPr id="6180" name="Check Box 36" hidden="1">
              <a:extLst>
                <a:ext uri="{63B3BB69-23CF-44E3-9099-C40C66FF867C}">
                  <a14:compatExt spid="_x0000_s6180"/>
                </a:ext>
                <a:ext uri="{FF2B5EF4-FFF2-40B4-BE49-F238E27FC236}">
                  <a16:creationId xmlns:a16="http://schemas.microsoft.com/office/drawing/2014/main" id="{00000000-0008-0000-0800-00002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196850</xdr:colOff>
          <xdr:row>19</xdr:row>
          <xdr:rowOff>196850</xdr:rowOff>
        </xdr:from>
        <xdr:to>
          <xdr:col>4</xdr:col>
          <xdr:colOff>203200</xdr:colOff>
          <xdr:row>21</xdr:row>
          <xdr:rowOff>0</xdr:rowOff>
        </xdr:to>
        <xdr:sp macro="" textlink="">
          <xdr:nvSpPr>
            <xdr:cNvPr id="6181" name="Check Box 37" hidden="1">
              <a:extLst>
                <a:ext uri="{63B3BB69-23CF-44E3-9099-C40C66FF867C}">
                  <a14:compatExt spid="_x0000_s6181"/>
                </a:ext>
                <a:ext uri="{FF2B5EF4-FFF2-40B4-BE49-F238E27FC236}">
                  <a16:creationId xmlns:a16="http://schemas.microsoft.com/office/drawing/2014/main" id="{00000000-0008-0000-0800-00002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</a:t>
              </a:r>
            </a:p>
          </xdr:txBody>
        </xdr:sp>
        <xdr:clientData/>
      </xdr:twoCellAnchor>
    </mc:Choice>
    <mc:Fallback/>
  </mc:AlternateContent>
  <xdr:twoCellAnchor>
    <xdr:from>
      <xdr:col>8</xdr:col>
      <xdr:colOff>73024</xdr:colOff>
      <xdr:row>0</xdr:row>
      <xdr:rowOff>76200</xdr:rowOff>
    </xdr:from>
    <xdr:to>
      <xdr:col>15</xdr:col>
      <xdr:colOff>241300</xdr:colOff>
      <xdr:row>18</xdr:row>
      <xdr:rowOff>101599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CA4963-2D72-EC95-A4C1-88D9AFC161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90275E-E40F-4E1A-A524-5418C29BA039}" name="Table1" displayName="Table1" ref="A1:D37" totalsRowShown="0" headerRowDxfId="9" dataDxfId="7" headerRowBorderDxfId="8" tableBorderDxfId="6" totalsRowBorderDxfId="5">
  <autoFilter ref="A1:D37" xr:uid="{6790275E-E40F-4E1A-A524-5418C29BA039}"/>
  <tableColumns count="4">
    <tableColumn id="1" xr3:uid="{805CDCA2-158B-42E3-95C8-A3A2BD495EBB}" name="S.No." dataDxfId="4"/>
    <tableColumn id="2" xr3:uid="{0F7C7BDA-EFD7-42AB-BCBE-F0048F3F427F}" name="States " dataDxfId="3"/>
    <tableColumn id="3" xr3:uid="{8C315E56-F754-47DB-A0B8-2987C1AD1982}" name="Capital" dataDxfId="2"/>
    <tableColumn id="4" xr3:uid="{1010D63A-8440-48C0-9BE5-44E67171A08F}" name="Major Citi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3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52.xml"/><Relationship Id="rId18" Type="http://schemas.openxmlformats.org/officeDocument/2006/relationships/ctrlProp" Target="../ctrlProps/ctrlProp57.xml"/><Relationship Id="rId26" Type="http://schemas.openxmlformats.org/officeDocument/2006/relationships/ctrlProp" Target="../ctrlProps/ctrlProp65.xml"/><Relationship Id="rId39" Type="http://schemas.openxmlformats.org/officeDocument/2006/relationships/ctrlProp" Target="../ctrlProps/ctrlProp78.xml"/><Relationship Id="rId21" Type="http://schemas.openxmlformats.org/officeDocument/2006/relationships/ctrlProp" Target="../ctrlProps/ctrlProp60.xml"/><Relationship Id="rId34" Type="http://schemas.openxmlformats.org/officeDocument/2006/relationships/ctrlProp" Target="../ctrlProps/ctrlProp73.xml"/><Relationship Id="rId42" Type="http://schemas.openxmlformats.org/officeDocument/2006/relationships/ctrlProp" Target="../ctrlProps/ctrlProp81.xml"/><Relationship Id="rId47" Type="http://schemas.openxmlformats.org/officeDocument/2006/relationships/ctrlProp" Target="../ctrlProps/ctrlProp86.xml"/><Relationship Id="rId50" Type="http://schemas.openxmlformats.org/officeDocument/2006/relationships/ctrlProp" Target="../ctrlProps/ctrlProp89.xml"/><Relationship Id="rId55" Type="http://schemas.openxmlformats.org/officeDocument/2006/relationships/ctrlProp" Target="../ctrlProps/ctrlProp94.xml"/><Relationship Id="rId63" Type="http://schemas.openxmlformats.org/officeDocument/2006/relationships/ctrlProp" Target="../ctrlProps/ctrlProp102.xml"/><Relationship Id="rId7" Type="http://schemas.openxmlformats.org/officeDocument/2006/relationships/ctrlProp" Target="../ctrlProps/ctrlProp46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55.xml"/><Relationship Id="rId29" Type="http://schemas.openxmlformats.org/officeDocument/2006/relationships/ctrlProp" Target="../ctrlProps/ctrlProp68.xml"/><Relationship Id="rId11" Type="http://schemas.openxmlformats.org/officeDocument/2006/relationships/ctrlProp" Target="../ctrlProps/ctrlProp50.xml"/><Relationship Id="rId24" Type="http://schemas.openxmlformats.org/officeDocument/2006/relationships/ctrlProp" Target="../ctrlProps/ctrlProp63.xml"/><Relationship Id="rId32" Type="http://schemas.openxmlformats.org/officeDocument/2006/relationships/ctrlProp" Target="../ctrlProps/ctrlProp71.xml"/><Relationship Id="rId37" Type="http://schemas.openxmlformats.org/officeDocument/2006/relationships/ctrlProp" Target="../ctrlProps/ctrlProp76.xml"/><Relationship Id="rId40" Type="http://schemas.openxmlformats.org/officeDocument/2006/relationships/ctrlProp" Target="../ctrlProps/ctrlProp79.xml"/><Relationship Id="rId45" Type="http://schemas.openxmlformats.org/officeDocument/2006/relationships/ctrlProp" Target="../ctrlProps/ctrlProp84.xml"/><Relationship Id="rId53" Type="http://schemas.openxmlformats.org/officeDocument/2006/relationships/ctrlProp" Target="../ctrlProps/ctrlProp92.xml"/><Relationship Id="rId58" Type="http://schemas.openxmlformats.org/officeDocument/2006/relationships/ctrlProp" Target="../ctrlProps/ctrlProp97.xml"/><Relationship Id="rId5" Type="http://schemas.openxmlformats.org/officeDocument/2006/relationships/ctrlProp" Target="../ctrlProps/ctrlProp44.xml"/><Relationship Id="rId61" Type="http://schemas.openxmlformats.org/officeDocument/2006/relationships/ctrlProp" Target="../ctrlProps/ctrlProp100.xml"/><Relationship Id="rId19" Type="http://schemas.openxmlformats.org/officeDocument/2006/relationships/ctrlProp" Target="../ctrlProps/ctrlProp58.xml"/><Relationship Id="rId14" Type="http://schemas.openxmlformats.org/officeDocument/2006/relationships/ctrlProp" Target="../ctrlProps/ctrlProp53.xml"/><Relationship Id="rId22" Type="http://schemas.openxmlformats.org/officeDocument/2006/relationships/ctrlProp" Target="../ctrlProps/ctrlProp61.xml"/><Relationship Id="rId27" Type="http://schemas.openxmlformats.org/officeDocument/2006/relationships/ctrlProp" Target="../ctrlProps/ctrlProp66.xml"/><Relationship Id="rId30" Type="http://schemas.openxmlformats.org/officeDocument/2006/relationships/ctrlProp" Target="../ctrlProps/ctrlProp69.xml"/><Relationship Id="rId35" Type="http://schemas.openxmlformats.org/officeDocument/2006/relationships/ctrlProp" Target="../ctrlProps/ctrlProp74.xml"/><Relationship Id="rId43" Type="http://schemas.openxmlformats.org/officeDocument/2006/relationships/ctrlProp" Target="../ctrlProps/ctrlProp82.xml"/><Relationship Id="rId48" Type="http://schemas.openxmlformats.org/officeDocument/2006/relationships/ctrlProp" Target="../ctrlProps/ctrlProp87.xml"/><Relationship Id="rId56" Type="http://schemas.openxmlformats.org/officeDocument/2006/relationships/ctrlProp" Target="../ctrlProps/ctrlProp95.xml"/><Relationship Id="rId8" Type="http://schemas.openxmlformats.org/officeDocument/2006/relationships/ctrlProp" Target="../ctrlProps/ctrlProp47.xml"/><Relationship Id="rId51" Type="http://schemas.openxmlformats.org/officeDocument/2006/relationships/ctrlProp" Target="../ctrlProps/ctrlProp90.xml"/><Relationship Id="rId3" Type="http://schemas.openxmlformats.org/officeDocument/2006/relationships/vmlDrawing" Target="../drawings/vmlDrawing4.vml"/><Relationship Id="rId12" Type="http://schemas.openxmlformats.org/officeDocument/2006/relationships/ctrlProp" Target="../ctrlProps/ctrlProp51.xml"/><Relationship Id="rId17" Type="http://schemas.openxmlformats.org/officeDocument/2006/relationships/ctrlProp" Target="../ctrlProps/ctrlProp56.xml"/><Relationship Id="rId25" Type="http://schemas.openxmlformats.org/officeDocument/2006/relationships/ctrlProp" Target="../ctrlProps/ctrlProp64.xml"/><Relationship Id="rId33" Type="http://schemas.openxmlformats.org/officeDocument/2006/relationships/ctrlProp" Target="../ctrlProps/ctrlProp72.xml"/><Relationship Id="rId38" Type="http://schemas.openxmlformats.org/officeDocument/2006/relationships/ctrlProp" Target="../ctrlProps/ctrlProp77.xml"/><Relationship Id="rId46" Type="http://schemas.openxmlformats.org/officeDocument/2006/relationships/ctrlProp" Target="../ctrlProps/ctrlProp85.xml"/><Relationship Id="rId59" Type="http://schemas.openxmlformats.org/officeDocument/2006/relationships/ctrlProp" Target="../ctrlProps/ctrlProp98.xml"/><Relationship Id="rId20" Type="http://schemas.openxmlformats.org/officeDocument/2006/relationships/ctrlProp" Target="../ctrlProps/ctrlProp59.xml"/><Relationship Id="rId41" Type="http://schemas.openxmlformats.org/officeDocument/2006/relationships/ctrlProp" Target="../ctrlProps/ctrlProp80.xml"/><Relationship Id="rId54" Type="http://schemas.openxmlformats.org/officeDocument/2006/relationships/ctrlProp" Target="../ctrlProps/ctrlProp93.xml"/><Relationship Id="rId62" Type="http://schemas.openxmlformats.org/officeDocument/2006/relationships/ctrlProp" Target="../ctrlProps/ctrlProp101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45.xml"/><Relationship Id="rId15" Type="http://schemas.openxmlformats.org/officeDocument/2006/relationships/ctrlProp" Target="../ctrlProps/ctrlProp54.xml"/><Relationship Id="rId23" Type="http://schemas.openxmlformats.org/officeDocument/2006/relationships/ctrlProp" Target="../ctrlProps/ctrlProp62.xml"/><Relationship Id="rId28" Type="http://schemas.openxmlformats.org/officeDocument/2006/relationships/ctrlProp" Target="../ctrlProps/ctrlProp67.xml"/><Relationship Id="rId36" Type="http://schemas.openxmlformats.org/officeDocument/2006/relationships/ctrlProp" Target="../ctrlProps/ctrlProp75.xml"/><Relationship Id="rId49" Type="http://schemas.openxmlformats.org/officeDocument/2006/relationships/ctrlProp" Target="../ctrlProps/ctrlProp88.xml"/><Relationship Id="rId57" Type="http://schemas.openxmlformats.org/officeDocument/2006/relationships/ctrlProp" Target="../ctrlProps/ctrlProp96.xml"/><Relationship Id="rId10" Type="http://schemas.openxmlformats.org/officeDocument/2006/relationships/ctrlProp" Target="../ctrlProps/ctrlProp49.xml"/><Relationship Id="rId31" Type="http://schemas.openxmlformats.org/officeDocument/2006/relationships/ctrlProp" Target="../ctrlProps/ctrlProp70.xml"/><Relationship Id="rId44" Type="http://schemas.openxmlformats.org/officeDocument/2006/relationships/ctrlProp" Target="../ctrlProps/ctrlProp83.xml"/><Relationship Id="rId52" Type="http://schemas.openxmlformats.org/officeDocument/2006/relationships/ctrlProp" Target="../ctrlProps/ctrlProp91.xml"/><Relationship Id="rId60" Type="http://schemas.openxmlformats.org/officeDocument/2006/relationships/ctrlProp" Target="../ctrlProps/ctrlProp99.xml"/><Relationship Id="rId4" Type="http://schemas.openxmlformats.org/officeDocument/2006/relationships/ctrlProp" Target="../ctrlProps/ctrlProp43.xml"/><Relationship Id="rId9" Type="http://schemas.openxmlformats.org/officeDocument/2006/relationships/ctrlProp" Target="../ctrlProps/ctrlProp48.xm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125.xml"/><Relationship Id="rId117" Type="http://schemas.openxmlformats.org/officeDocument/2006/relationships/ctrlProp" Target="../ctrlProps/ctrlProp216.xml"/><Relationship Id="rId21" Type="http://schemas.openxmlformats.org/officeDocument/2006/relationships/ctrlProp" Target="../ctrlProps/ctrlProp120.xml"/><Relationship Id="rId42" Type="http://schemas.openxmlformats.org/officeDocument/2006/relationships/ctrlProp" Target="../ctrlProps/ctrlProp141.xml"/><Relationship Id="rId47" Type="http://schemas.openxmlformats.org/officeDocument/2006/relationships/ctrlProp" Target="../ctrlProps/ctrlProp146.xml"/><Relationship Id="rId63" Type="http://schemas.openxmlformats.org/officeDocument/2006/relationships/ctrlProp" Target="../ctrlProps/ctrlProp162.xml"/><Relationship Id="rId68" Type="http://schemas.openxmlformats.org/officeDocument/2006/relationships/ctrlProp" Target="../ctrlProps/ctrlProp167.xml"/><Relationship Id="rId84" Type="http://schemas.openxmlformats.org/officeDocument/2006/relationships/ctrlProp" Target="../ctrlProps/ctrlProp183.xml"/><Relationship Id="rId89" Type="http://schemas.openxmlformats.org/officeDocument/2006/relationships/ctrlProp" Target="../ctrlProps/ctrlProp188.xml"/><Relationship Id="rId112" Type="http://schemas.openxmlformats.org/officeDocument/2006/relationships/ctrlProp" Target="../ctrlProps/ctrlProp211.xml"/><Relationship Id="rId16" Type="http://schemas.openxmlformats.org/officeDocument/2006/relationships/ctrlProp" Target="../ctrlProps/ctrlProp115.xml"/><Relationship Id="rId107" Type="http://schemas.openxmlformats.org/officeDocument/2006/relationships/ctrlProp" Target="../ctrlProps/ctrlProp206.xml"/><Relationship Id="rId11" Type="http://schemas.openxmlformats.org/officeDocument/2006/relationships/ctrlProp" Target="../ctrlProps/ctrlProp110.xml"/><Relationship Id="rId32" Type="http://schemas.openxmlformats.org/officeDocument/2006/relationships/ctrlProp" Target="../ctrlProps/ctrlProp131.xml"/><Relationship Id="rId37" Type="http://schemas.openxmlformats.org/officeDocument/2006/relationships/ctrlProp" Target="../ctrlProps/ctrlProp136.xml"/><Relationship Id="rId53" Type="http://schemas.openxmlformats.org/officeDocument/2006/relationships/ctrlProp" Target="../ctrlProps/ctrlProp152.xml"/><Relationship Id="rId58" Type="http://schemas.openxmlformats.org/officeDocument/2006/relationships/ctrlProp" Target="../ctrlProps/ctrlProp157.xml"/><Relationship Id="rId74" Type="http://schemas.openxmlformats.org/officeDocument/2006/relationships/ctrlProp" Target="../ctrlProps/ctrlProp173.xml"/><Relationship Id="rId79" Type="http://schemas.openxmlformats.org/officeDocument/2006/relationships/ctrlProp" Target="../ctrlProps/ctrlProp178.xml"/><Relationship Id="rId102" Type="http://schemas.openxmlformats.org/officeDocument/2006/relationships/ctrlProp" Target="../ctrlProps/ctrlProp201.xml"/><Relationship Id="rId123" Type="http://schemas.openxmlformats.org/officeDocument/2006/relationships/ctrlProp" Target="../ctrlProps/ctrlProp222.xml"/><Relationship Id="rId5" Type="http://schemas.openxmlformats.org/officeDocument/2006/relationships/ctrlProp" Target="../ctrlProps/ctrlProp104.xml"/><Relationship Id="rId90" Type="http://schemas.openxmlformats.org/officeDocument/2006/relationships/ctrlProp" Target="../ctrlProps/ctrlProp189.xml"/><Relationship Id="rId95" Type="http://schemas.openxmlformats.org/officeDocument/2006/relationships/ctrlProp" Target="../ctrlProps/ctrlProp194.xml"/><Relationship Id="rId22" Type="http://schemas.openxmlformats.org/officeDocument/2006/relationships/ctrlProp" Target="../ctrlProps/ctrlProp121.xml"/><Relationship Id="rId27" Type="http://schemas.openxmlformats.org/officeDocument/2006/relationships/ctrlProp" Target="../ctrlProps/ctrlProp126.xml"/><Relationship Id="rId43" Type="http://schemas.openxmlformats.org/officeDocument/2006/relationships/ctrlProp" Target="../ctrlProps/ctrlProp142.xml"/><Relationship Id="rId48" Type="http://schemas.openxmlformats.org/officeDocument/2006/relationships/ctrlProp" Target="../ctrlProps/ctrlProp147.xml"/><Relationship Id="rId64" Type="http://schemas.openxmlformats.org/officeDocument/2006/relationships/ctrlProp" Target="../ctrlProps/ctrlProp163.xml"/><Relationship Id="rId69" Type="http://schemas.openxmlformats.org/officeDocument/2006/relationships/ctrlProp" Target="../ctrlProps/ctrlProp168.xml"/><Relationship Id="rId113" Type="http://schemas.openxmlformats.org/officeDocument/2006/relationships/ctrlProp" Target="../ctrlProps/ctrlProp212.xml"/><Relationship Id="rId118" Type="http://schemas.openxmlformats.org/officeDocument/2006/relationships/ctrlProp" Target="../ctrlProps/ctrlProp217.xml"/><Relationship Id="rId80" Type="http://schemas.openxmlformats.org/officeDocument/2006/relationships/ctrlProp" Target="../ctrlProps/ctrlProp179.xml"/><Relationship Id="rId85" Type="http://schemas.openxmlformats.org/officeDocument/2006/relationships/ctrlProp" Target="../ctrlProps/ctrlProp184.xml"/><Relationship Id="rId12" Type="http://schemas.openxmlformats.org/officeDocument/2006/relationships/ctrlProp" Target="../ctrlProps/ctrlProp111.xml"/><Relationship Id="rId17" Type="http://schemas.openxmlformats.org/officeDocument/2006/relationships/ctrlProp" Target="../ctrlProps/ctrlProp116.xml"/><Relationship Id="rId33" Type="http://schemas.openxmlformats.org/officeDocument/2006/relationships/ctrlProp" Target="../ctrlProps/ctrlProp132.xml"/><Relationship Id="rId38" Type="http://schemas.openxmlformats.org/officeDocument/2006/relationships/ctrlProp" Target="../ctrlProps/ctrlProp137.xml"/><Relationship Id="rId59" Type="http://schemas.openxmlformats.org/officeDocument/2006/relationships/ctrlProp" Target="../ctrlProps/ctrlProp158.xml"/><Relationship Id="rId103" Type="http://schemas.openxmlformats.org/officeDocument/2006/relationships/ctrlProp" Target="../ctrlProps/ctrlProp202.xml"/><Relationship Id="rId108" Type="http://schemas.openxmlformats.org/officeDocument/2006/relationships/ctrlProp" Target="../ctrlProps/ctrlProp207.xml"/><Relationship Id="rId124" Type="http://schemas.openxmlformats.org/officeDocument/2006/relationships/ctrlProp" Target="../ctrlProps/ctrlProp223.xml"/><Relationship Id="rId54" Type="http://schemas.openxmlformats.org/officeDocument/2006/relationships/ctrlProp" Target="../ctrlProps/ctrlProp153.xml"/><Relationship Id="rId70" Type="http://schemas.openxmlformats.org/officeDocument/2006/relationships/ctrlProp" Target="../ctrlProps/ctrlProp169.xml"/><Relationship Id="rId75" Type="http://schemas.openxmlformats.org/officeDocument/2006/relationships/ctrlProp" Target="../ctrlProps/ctrlProp174.xml"/><Relationship Id="rId91" Type="http://schemas.openxmlformats.org/officeDocument/2006/relationships/ctrlProp" Target="../ctrlProps/ctrlProp190.xml"/><Relationship Id="rId96" Type="http://schemas.openxmlformats.org/officeDocument/2006/relationships/ctrlProp" Target="../ctrlProps/ctrlProp195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105.xml"/><Relationship Id="rId23" Type="http://schemas.openxmlformats.org/officeDocument/2006/relationships/ctrlProp" Target="../ctrlProps/ctrlProp122.xml"/><Relationship Id="rId28" Type="http://schemas.openxmlformats.org/officeDocument/2006/relationships/ctrlProp" Target="../ctrlProps/ctrlProp127.xml"/><Relationship Id="rId49" Type="http://schemas.openxmlformats.org/officeDocument/2006/relationships/ctrlProp" Target="../ctrlProps/ctrlProp148.xml"/><Relationship Id="rId114" Type="http://schemas.openxmlformats.org/officeDocument/2006/relationships/ctrlProp" Target="../ctrlProps/ctrlProp213.xml"/><Relationship Id="rId119" Type="http://schemas.openxmlformats.org/officeDocument/2006/relationships/ctrlProp" Target="../ctrlProps/ctrlProp218.xml"/><Relationship Id="rId44" Type="http://schemas.openxmlformats.org/officeDocument/2006/relationships/ctrlProp" Target="../ctrlProps/ctrlProp143.xml"/><Relationship Id="rId60" Type="http://schemas.openxmlformats.org/officeDocument/2006/relationships/ctrlProp" Target="../ctrlProps/ctrlProp159.xml"/><Relationship Id="rId65" Type="http://schemas.openxmlformats.org/officeDocument/2006/relationships/ctrlProp" Target="../ctrlProps/ctrlProp164.xml"/><Relationship Id="rId81" Type="http://schemas.openxmlformats.org/officeDocument/2006/relationships/ctrlProp" Target="../ctrlProps/ctrlProp180.xml"/><Relationship Id="rId86" Type="http://schemas.openxmlformats.org/officeDocument/2006/relationships/ctrlProp" Target="../ctrlProps/ctrlProp185.xml"/><Relationship Id="rId13" Type="http://schemas.openxmlformats.org/officeDocument/2006/relationships/ctrlProp" Target="../ctrlProps/ctrlProp112.xml"/><Relationship Id="rId18" Type="http://schemas.openxmlformats.org/officeDocument/2006/relationships/ctrlProp" Target="../ctrlProps/ctrlProp117.xml"/><Relationship Id="rId39" Type="http://schemas.openxmlformats.org/officeDocument/2006/relationships/ctrlProp" Target="../ctrlProps/ctrlProp138.xml"/><Relationship Id="rId109" Type="http://schemas.openxmlformats.org/officeDocument/2006/relationships/ctrlProp" Target="../ctrlProps/ctrlProp208.xml"/><Relationship Id="rId34" Type="http://schemas.openxmlformats.org/officeDocument/2006/relationships/ctrlProp" Target="../ctrlProps/ctrlProp133.xml"/><Relationship Id="rId50" Type="http://schemas.openxmlformats.org/officeDocument/2006/relationships/ctrlProp" Target="../ctrlProps/ctrlProp149.xml"/><Relationship Id="rId55" Type="http://schemas.openxmlformats.org/officeDocument/2006/relationships/ctrlProp" Target="../ctrlProps/ctrlProp154.xml"/><Relationship Id="rId76" Type="http://schemas.openxmlformats.org/officeDocument/2006/relationships/ctrlProp" Target="../ctrlProps/ctrlProp175.xml"/><Relationship Id="rId97" Type="http://schemas.openxmlformats.org/officeDocument/2006/relationships/ctrlProp" Target="../ctrlProps/ctrlProp196.xml"/><Relationship Id="rId104" Type="http://schemas.openxmlformats.org/officeDocument/2006/relationships/ctrlProp" Target="../ctrlProps/ctrlProp203.xml"/><Relationship Id="rId120" Type="http://schemas.openxmlformats.org/officeDocument/2006/relationships/ctrlProp" Target="../ctrlProps/ctrlProp219.xml"/><Relationship Id="rId125" Type="http://schemas.openxmlformats.org/officeDocument/2006/relationships/ctrlProp" Target="../ctrlProps/ctrlProp224.xml"/><Relationship Id="rId7" Type="http://schemas.openxmlformats.org/officeDocument/2006/relationships/ctrlProp" Target="../ctrlProps/ctrlProp106.xml"/><Relationship Id="rId71" Type="http://schemas.openxmlformats.org/officeDocument/2006/relationships/ctrlProp" Target="../ctrlProps/ctrlProp170.xml"/><Relationship Id="rId92" Type="http://schemas.openxmlformats.org/officeDocument/2006/relationships/ctrlProp" Target="../ctrlProps/ctrlProp191.xml"/><Relationship Id="rId2" Type="http://schemas.openxmlformats.org/officeDocument/2006/relationships/drawing" Target="../drawings/drawing5.xml"/><Relationship Id="rId29" Type="http://schemas.openxmlformats.org/officeDocument/2006/relationships/ctrlProp" Target="../ctrlProps/ctrlProp128.xml"/><Relationship Id="rId24" Type="http://schemas.openxmlformats.org/officeDocument/2006/relationships/ctrlProp" Target="../ctrlProps/ctrlProp123.xml"/><Relationship Id="rId40" Type="http://schemas.openxmlformats.org/officeDocument/2006/relationships/ctrlProp" Target="../ctrlProps/ctrlProp139.xml"/><Relationship Id="rId45" Type="http://schemas.openxmlformats.org/officeDocument/2006/relationships/ctrlProp" Target="../ctrlProps/ctrlProp144.xml"/><Relationship Id="rId66" Type="http://schemas.openxmlformats.org/officeDocument/2006/relationships/ctrlProp" Target="../ctrlProps/ctrlProp165.xml"/><Relationship Id="rId87" Type="http://schemas.openxmlformats.org/officeDocument/2006/relationships/ctrlProp" Target="../ctrlProps/ctrlProp186.xml"/><Relationship Id="rId110" Type="http://schemas.openxmlformats.org/officeDocument/2006/relationships/ctrlProp" Target="../ctrlProps/ctrlProp209.xml"/><Relationship Id="rId115" Type="http://schemas.openxmlformats.org/officeDocument/2006/relationships/ctrlProp" Target="../ctrlProps/ctrlProp214.xml"/><Relationship Id="rId61" Type="http://schemas.openxmlformats.org/officeDocument/2006/relationships/ctrlProp" Target="../ctrlProps/ctrlProp160.xml"/><Relationship Id="rId82" Type="http://schemas.openxmlformats.org/officeDocument/2006/relationships/ctrlProp" Target="../ctrlProps/ctrlProp181.xml"/><Relationship Id="rId19" Type="http://schemas.openxmlformats.org/officeDocument/2006/relationships/ctrlProp" Target="../ctrlProps/ctrlProp118.xml"/><Relationship Id="rId14" Type="http://schemas.openxmlformats.org/officeDocument/2006/relationships/ctrlProp" Target="../ctrlProps/ctrlProp113.xml"/><Relationship Id="rId30" Type="http://schemas.openxmlformats.org/officeDocument/2006/relationships/ctrlProp" Target="../ctrlProps/ctrlProp129.xml"/><Relationship Id="rId35" Type="http://schemas.openxmlformats.org/officeDocument/2006/relationships/ctrlProp" Target="../ctrlProps/ctrlProp134.xml"/><Relationship Id="rId56" Type="http://schemas.openxmlformats.org/officeDocument/2006/relationships/ctrlProp" Target="../ctrlProps/ctrlProp155.xml"/><Relationship Id="rId77" Type="http://schemas.openxmlformats.org/officeDocument/2006/relationships/ctrlProp" Target="../ctrlProps/ctrlProp176.xml"/><Relationship Id="rId100" Type="http://schemas.openxmlformats.org/officeDocument/2006/relationships/ctrlProp" Target="../ctrlProps/ctrlProp199.xml"/><Relationship Id="rId105" Type="http://schemas.openxmlformats.org/officeDocument/2006/relationships/ctrlProp" Target="../ctrlProps/ctrlProp204.xml"/><Relationship Id="rId126" Type="http://schemas.openxmlformats.org/officeDocument/2006/relationships/ctrlProp" Target="../ctrlProps/ctrlProp225.xml"/><Relationship Id="rId8" Type="http://schemas.openxmlformats.org/officeDocument/2006/relationships/ctrlProp" Target="../ctrlProps/ctrlProp107.xml"/><Relationship Id="rId51" Type="http://schemas.openxmlformats.org/officeDocument/2006/relationships/ctrlProp" Target="../ctrlProps/ctrlProp150.xml"/><Relationship Id="rId72" Type="http://schemas.openxmlformats.org/officeDocument/2006/relationships/ctrlProp" Target="../ctrlProps/ctrlProp171.xml"/><Relationship Id="rId93" Type="http://schemas.openxmlformats.org/officeDocument/2006/relationships/ctrlProp" Target="../ctrlProps/ctrlProp192.xml"/><Relationship Id="rId98" Type="http://schemas.openxmlformats.org/officeDocument/2006/relationships/ctrlProp" Target="../ctrlProps/ctrlProp197.xml"/><Relationship Id="rId121" Type="http://schemas.openxmlformats.org/officeDocument/2006/relationships/ctrlProp" Target="../ctrlProps/ctrlProp220.xml"/><Relationship Id="rId3" Type="http://schemas.openxmlformats.org/officeDocument/2006/relationships/vmlDrawing" Target="../drawings/vmlDrawing5.vml"/><Relationship Id="rId25" Type="http://schemas.openxmlformats.org/officeDocument/2006/relationships/ctrlProp" Target="../ctrlProps/ctrlProp124.xml"/><Relationship Id="rId46" Type="http://schemas.openxmlformats.org/officeDocument/2006/relationships/ctrlProp" Target="../ctrlProps/ctrlProp145.xml"/><Relationship Id="rId67" Type="http://schemas.openxmlformats.org/officeDocument/2006/relationships/ctrlProp" Target="../ctrlProps/ctrlProp166.xml"/><Relationship Id="rId116" Type="http://schemas.openxmlformats.org/officeDocument/2006/relationships/ctrlProp" Target="../ctrlProps/ctrlProp215.xml"/><Relationship Id="rId20" Type="http://schemas.openxmlformats.org/officeDocument/2006/relationships/ctrlProp" Target="../ctrlProps/ctrlProp119.xml"/><Relationship Id="rId41" Type="http://schemas.openxmlformats.org/officeDocument/2006/relationships/ctrlProp" Target="../ctrlProps/ctrlProp140.xml"/><Relationship Id="rId62" Type="http://schemas.openxmlformats.org/officeDocument/2006/relationships/ctrlProp" Target="../ctrlProps/ctrlProp161.xml"/><Relationship Id="rId83" Type="http://schemas.openxmlformats.org/officeDocument/2006/relationships/ctrlProp" Target="../ctrlProps/ctrlProp182.xml"/><Relationship Id="rId88" Type="http://schemas.openxmlformats.org/officeDocument/2006/relationships/ctrlProp" Target="../ctrlProps/ctrlProp187.xml"/><Relationship Id="rId111" Type="http://schemas.openxmlformats.org/officeDocument/2006/relationships/ctrlProp" Target="../ctrlProps/ctrlProp210.xml"/><Relationship Id="rId15" Type="http://schemas.openxmlformats.org/officeDocument/2006/relationships/ctrlProp" Target="../ctrlProps/ctrlProp114.xml"/><Relationship Id="rId36" Type="http://schemas.openxmlformats.org/officeDocument/2006/relationships/ctrlProp" Target="../ctrlProps/ctrlProp135.xml"/><Relationship Id="rId57" Type="http://schemas.openxmlformats.org/officeDocument/2006/relationships/ctrlProp" Target="../ctrlProps/ctrlProp156.xml"/><Relationship Id="rId106" Type="http://schemas.openxmlformats.org/officeDocument/2006/relationships/ctrlProp" Target="../ctrlProps/ctrlProp205.xml"/><Relationship Id="rId127" Type="http://schemas.openxmlformats.org/officeDocument/2006/relationships/ctrlProp" Target="../ctrlProps/ctrlProp226.xml"/><Relationship Id="rId10" Type="http://schemas.openxmlformats.org/officeDocument/2006/relationships/ctrlProp" Target="../ctrlProps/ctrlProp109.xml"/><Relationship Id="rId31" Type="http://schemas.openxmlformats.org/officeDocument/2006/relationships/ctrlProp" Target="../ctrlProps/ctrlProp130.xml"/><Relationship Id="rId52" Type="http://schemas.openxmlformats.org/officeDocument/2006/relationships/ctrlProp" Target="../ctrlProps/ctrlProp151.xml"/><Relationship Id="rId73" Type="http://schemas.openxmlformats.org/officeDocument/2006/relationships/ctrlProp" Target="../ctrlProps/ctrlProp172.xml"/><Relationship Id="rId78" Type="http://schemas.openxmlformats.org/officeDocument/2006/relationships/ctrlProp" Target="../ctrlProps/ctrlProp177.xml"/><Relationship Id="rId94" Type="http://schemas.openxmlformats.org/officeDocument/2006/relationships/ctrlProp" Target="../ctrlProps/ctrlProp193.xml"/><Relationship Id="rId99" Type="http://schemas.openxmlformats.org/officeDocument/2006/relationships/ctrlProp" Target="../ctrlProps/ctrlProp198.xml"/><Relationship Id="rId101" Type="http://schemas.openxmlformats.org/officeDocument/2006/relationships/ctrlProp" Target="../ctrlProps/ctrlProp200.xml"/><Relationship Id="rId122" Type="http://schemas.openxmlformats.org/officeDocument/2006/relationships/ctrlProp" Target="../ctrlProps/ctrlProp221.xml"/><Relationship Id="rId4" Type="http://schemas.openxmlformats.org/officeDocument/2006/relationships/ctrlProp" Target="../ctrlProps/ctrlProp103.xml"/><Relationship Id="rId9" Type="http://schemas.openxmlformats.org/officeDocument/2006/relationships/ctrlProp" Target="../ctrlProps/ctrlProp108.xm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236.xml"/><Relationship Id="rId18" Type="http://schemas.openxmlformats.org/officeDocument/2006/relationships/ctrlProp" Target="../ctrlProps/ctrlProp241.xml"/><Relationship Id="rId26" Type="http://schemas.openxmlformats.org/officeDocument/2006/relationships/ctrlProp" Target="../ctrlProps/ctrlProp249.xml"/><Relationship Id="rId21" Type="http://schemas.openxmlformats.org/officeDocument/2006/relationships/ctrlProp" Target="../ctrlProps/ctrlProp244.xml"/><Relationship Id="rId34" Type="http://schemas.openxmlformats.org/officeDocument/2006/relationships/ctrlProp" Target="../ctrlProps/ctrlProp257.xml"/><Relationship Id="rId7" Type="http://schemas.openxmlformats.org/officeDocument/2006/relationships/ctrlProp" Target="../ctrlProps/ctrlProp230.xml"/><Relationship Id="rId12" Type="http://schemas.openxmlformats.org/officeDocument/2006/relationships/ctrlProp" Target="../ctrlProps/ctrlProp235.xml"/><Relationship Id="rId17" Type="http://schemas.openxmlformats.org/officeDocument/2006/relationships/ctrlProp" Target="../ctrlProps/ctrlProp240.xml"/><Relationship Id="rId25" Type="http://schemas.openxmlformats.org/officeDocument/2006/relationships/ctrlProp" Target="../ctrlProps/ctrlProp248.xml"/><Relationship Id="rId33" Type="http://schemas.openxmlformats.org/officeDocument/2006/relationships/ctrlProp" Target="../ctrlProps/ctrlProp256.xml"/><Relationship Id="rId38" Type="http://schemas.openxmlformats.org/officeDocument/2006/relationships/ctrlProp" Target="../ctrlProps/ctrlProp261.xml"/><Relationship Id="rId2" Type="http://schemas.openxmlformats.org/officeDocument/2006/relationships/drawing" Target="../drawings/drawing6.xml"/><Relationship Id="rId16" Type="http://schemas.openxmlformats.org/officeDocument/2006/relationships/ctrlProp" Target="../ctrlProps/ctrlProp239.xml"/><Relationship Id="rId20" Type="http://schemas.openxmlformats.org/officeDocument/2006/relationships/ctrlProp" Target="../ctrlProps/ctrlProp243.xml"/><Relationship Id="rId29" Type="http://schemas.openxmlformats.org/officeDocument/2006/relationships/ctrlProp" Target="../ctrlProps/ctrlProp252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229.xml"/><Relationship Id="rId11" Type="http://schemas.openxmlformats.org/officeDocument/2006/relationships/ctrlProp" Target="../ctrlProps/ctrlProp234.xml"/><Relationship Id="rId24" Type="http://schemas.openxmlformats.org/officeDocument/2006/relationships/ctrlProp" Target="../ctrlProps/ctrlProp247.xml"/><Relationship Id="rId32" Type="http://schemas.openxmlformats.org/officeDocument/2006/relationships/ctrlProp" Target="../ctrlProps/ctrlProp255.xml"/><Relationship Id="rId37" Type="http://schemas.openxmlformats.org/officeDocument/2006/relationships/ctrlProp" Target="../ctrlProps/ctrlProp260.xml"/><Relationship Id="rId5" Type="http://schemas.openxmlformats.org/officeDocument/2006/relationships/ctrlProp" Target="../ctrlProps/ctrlProp228.xml"/><Relationship Id="rId15" Type="http://schemas.openxmlformats.org/officeDocument/2006/relationships/ctrlProp" Target="../ctrlProps/ctrlProp238.xml"/><Relationship Id="rId23" Type="http://schemas.openxmlformats.org/officeDocument/2006/relationships/ctrlProp" Target="../ctrlProps/ctrlProp246.xml"/><Relationship Id="rId28" Type="http://schemas.openxmlformats.org/officeDocument/2006/relationships/ctrlProp" Target="../ctrlProps/ctrlProp251.xml"/><Relationship Id="rId36" Type="http://schemas.openxmlformats.org/officeDocument/2006/relationships/ctrlProp" Target="../ctrlProps/ctrlProp259.xml"/><Relationship Id="rId10" Type="http://schemas.openxmlformats.org/officeDocument/2006/relationships/ctrlProp" Target="../ctrlProps/ctrlProp233.xml"/><Relationship Id="rId19" Type="http://schemas.openxmlformats.org/officeDocument/2006/relationships/ctrlProp" Target="../ctrlProps/ctrlProp242.xml"/><Relationship Id="rId31" Type="http://schemas.openxmlformats.org/officeDocument/2006/relationships/ctrlProp" Target="../ctrlProps/ctrlProp254.xml"/><Relationship Id="rId4" Type="http://schemas.openxmlformats.org/officeDocument/2006/relationships/ctrlProp" Target="../ctrlProps/ctrlProp227.xml"/><Relationship Id="rId9" Type="http://schemas.openxmlformats.org/officeDocument/2006/relationships/ctrlProp" Target="../ctrlProps/ctrlProp232.xml"/><Relationship Id="rId14" Type="http://schemas.openxmlformats.org/officeDocument/2006/relationships/ctrlProp" Target="../ctrlProps/ctrlProp237.xml"/><Relationship Id="rId22" Type="http://schemas.openxmlformats.org/officeDocument/2006/relationships/ctrlProp" Target="../ctrlProps/ctrlProp245.xml"/><Relationship Id="rId27" Type="http://schemas.openxmlformats.org/officeDocument/2006/relationships/ctrlProp" Target="../ctrlProps/ctrlProp250.xml"/><Relationship Id="rId30" Type="http://schemas.openxmlformats.org/officeDocument/2006/relationships/ctrlProp" Target="../ctrlProps/ctrlProp253.xml"/><Relationship Id="rId35" Type="http://schemas.openxmlformats.org/officeDocument/2006/relationships/ctrlProp" Target="../ctrlProps/ctrlProp258.xml"/><Relationship Id="rId8" Type="http://schemas.openxmlformats.org/officeDocument/2006/relationships/ctrlProp" Target="../ctrlProps/ctrlProp231.xml"/><Relationship Id="rId3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C9973-471E-40AB-B847-CCAFC51DD065}">
  <dimension ref="A1:AE35"/>
  <sheetViews>
    <sheetView showGridLines="0" tabSelected="1" zoomScale="70" zoomScaleNormal="70" zoomScaleSheetLayoutView="70" workbookViewId="0">
      <selection activeCell="K4" sqref="K4"/>
    </sheetView>
  </sheetViews>
  <sheetFormatPr defaultRowHeight="16" customHeight="1" x14ac:dyDescent="0.35"/>
  <cols>
    <col min="1" max="1" width="23.6328125" style="64" bestFit="1" customWidth="1"/>
    <col min="2" max="2" width="3.81640625" style="64" bestFit="1" customWidth="1"/>
    <col min="3" max="3" width="11.1796875" style="64" bestFit="1" customWidth="1"/>
    <col min="4" max="4" width="17.6328125" style="64" bestFit="1" customWidth="1"/>
    <col min="5" max="5" width="9.90625" style="64" bestFit="1" customWidth="1"/>
    <col min="6" max="6" width="8.7265625" style="64"/>
    <col min="7" max="7" width="26.1796875" style="64" bestFit="1" customWidth="1"/>
    <col min="8" max="11" width="8.7265625" style="64"/>
    <col min="12" max="12" width="13.54296875" style="64" customWidth="1"/>
    <col min="13" max="13" width="15.90625" style="64" bestFit="1" customWidth="1"/>
    <col min="14" max="14" width="13.81640625" style="64" bestFit="1" customWidth="1"/>
    <col min="15" max="15" width="30.6328125" style="64" bestFit="1" customWidth="1"/>
    <col min="16" max="16" width="3.81640625" style="64" bestFit="1" customWidth="1"/>
    <col min="17" max="17" width="5.81640625" style="64" customWidth="1"/>
    <col min="18" max="18" width="10.453125" style="64" bestFit="1" customWidth="1"/>
    <col min="19" max="19" width="14.54296875" style="64" bestFit="1" customWidth="1"/>
    <col min="20" max="20" width="8.1796875" style="64" bestFit="1" customWidth="1"/>
    <col min="21" max="21" width="11.6328125" style="64" bestFit="1" customWidth="1"/>
    <col min="22" max="22" width="13" style="64" bestFit="1" customWidth="1"/>
    <col min="23" max="23" width="8.1796875" style="64" bestFit="1" customWidth="1"/>
    <col min="24" max="24" width="10.453125" style="64" bestFit="1" customWidth="1"/>
    <col min="25" max="25" width="20" style="64" bestFit="1" customWidth="1"/>
    <col min="26" max="26" width="8.1796875" style="64" bestFit="1" customWidth="1"/>
    <col min="27" max="30" width="0" style="64" hidden="1" customWidth="1"/>
    <col min="31" max="31" width="11.54296875" style="64" customWidth="1"/>
    <col min="32" max="16384" width="8.7265625" style="64"/>
  </cols>
  <sheetData>
    <row r="1" spans="1:25" ht="30" customHeight="1" thickBot="1" x14ac:dyDescent="0.4">
      <c r="A1" s="123" t="s">
        <v>467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Q1" s="65"/>
      <c r="R1" s="66" t="s">
        <v>473</v>
      </c>
      <c r="S1" s="67"/>
      <c r="T1" s="68" t="s">
        <v>474</v>
      </c>
    </row>
    <row r="2" spans="1:25" ht="16" customHeight="1" x14ac:dyDescent="0.35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Q2" s="69"/>
      <c r="R2" s="126">
        <f ca="1">EOMONTH(TODAY(),-1)+1</f>
        <v>46266</v>
      </c>
      <c r="S2" s="127"/>
      <c r="T2" s="70">
        <v>45</v>
      </c>
    </row>
    <row r="3" spans="1:25" ht="21.5" customHeight="1" x14ac:dyDescent="0.55000000000000004">
      <c r="A3" s="123"/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Q3" s="69"/>
      <c r="R3" s="122">
        <f t="shared" ref="R3:R8" ca="1" si="0">R2+5</f>
        <v>46271</v>
      </c>
      <c r="S3" s="122"/>
      <c r="T3" s="71">
        <v>55</v>
      </c>
      <c r="Y3" s="72" t="s">
        <v>645</v>
      </c>
    </row>
    <row r="4" spans="1:25" ht="16" customHeight="1" x14ac:dyDescent="0.35">
      <c r="A4" s="73" t="s">
        <v>466</v>
      </c>
      <c r="B4" s="73"/>
      <c r="C4" s="74"/>
      <c r="D4" s="73" t="s">
        <v>468</v>
      </c>
      <c r="E4" s="73"/>
      <c r="F4" s="75"/>
      <c r="G4" s="73" t="s">
        <v>469</v>
      </c>
      <c r="H4" s="76"/>
      <c r="Q4" s="69"/>
      <c r="R4" s="122">
        <f t="shared" ca="1" si="0"/>
        <v>46276</v>
      </c>
      <c r="S4" s="122"/>
      <c r="T4" s="71">
        <v>66</v>
      </c>
    </row>
    <row r="5" spans="1:25" ht="16" customHeight="1" x14ac:dyDescent="0.35">
      <c r="A5" s="77">
        <f>E13</f>
        <v>0</v>
      </c>
      <c r="B5" s="73"/>
      <c r="C5" s="74"/>
      <c r="D5" s="78" t="s">
        <v>488</v>
      </c>
      <c r="E5" s="73"/>
      <c r="F5" s="74"/>
      <c r="G5" s="79" t="s">
        <v>487</v>
      </c>
      <c r="H5" s="76"/>
      <c r="Q5" s="69"/>
      <c r="R5" s="122">
        <f t="shared" ca="1" si="0"/>
        <v>46281</v>
      </c>
      <c r="S5" s="122"/>
      <c r="T5" s="71">
        <v>66</v>
      </c>
    </row>
    <row r="6" spans="1:25" ht="16" customHeight="1" thickBot="1" x14ac:dyDescent="0.4">
      <c r="B6" s="80"/>
      <c r="C6" s="76"/>
      <c r="E6" s="78"/>
      <c r="F6" s="76"/>
      <c r="H6" s="76"/>
      <c r="Q6" s="69"/>
      <c r="R6" s="122">
        <f t="shared" ca="1" si="0"/>
        <v>46286</v>
      </c>
      <c r="S6" s="122"/>
      <c r="T6" s="71">
        <v>77</v>
      </c>
    </row>
    <row r="7" spans="1:25" ht="16" customHeight="1" thickBot="1" x14ac:dyDescent="0.4">
      <c r="A7" s="81" t="s">
        <v>66</v>
      </c>
      <c r="B7" s="82"/>
      <c r="C7" s="82" t="s">
        <v>73</v>
      </c>
      <c r="D7" s="83" t="s">
        <v>70</v>
      </c>
      <c r="E7" s="84" t="s">
        <v>263</v>
      </c>
      <c r="Q7" s="69"/>
      <c r="R7" s="122">
        <f t="shared" ca="1" si="0"/>
        <v>46291</v>
      </c>
      <c r="S7" s="122"/>
      <c r="T7" s="71">
        <v>88</v>
      </c>
    </row>
    <row r="8" spans="1:25" ht="16" customHeight="1" x14ac:dyDescent="0.35">
      <c r="A8" s="85" t="s">
        <v>67</v>
      </c>
      <c r="B8" s="86">
        <f>Maths!$G$3</f>
        <v>42</v>
      </c>
      <c r="C8" s="87">
        <f>Maths!$H$3</f>
        <v>0</v>
      </c>
      <c r="D8" s="87">
        <f>Maths!$I$3</f>
        <v>33</v>
      </c>
      <c r="E8" s="88">
        <f>C8/B8*100</f>
        <v>0</v>
      </c>
      <c r="Q8" s="69"/>
      <c r="R8" s="122">
        <f t="shared" ca="1" si="0"/>
        <v>46296</v>
      </c>
      <c r="S8" s="122"/>
      <c r="T8" s="71">
        <v>99</v>
      </c>
    </row>
    <row r="9" spans="1:25" ht="16" customHeight="1" x14ac:dyDescent="0.35">
      <c r="A9" s="85" t="s">
        <v>68</v>
      </c>
      <c r="B9" s="86">
        <f>Reasoning!$G$3</f>
        <v>52</v>
      </c>
      <c r="C9" s="87">
        <f>Reasoning!$H$3</f>
        <v>0</v>
      </c>
      <c r="D9" s="87">
        <f>Reasoning!$I$3</f>
        <v>52</v>
      </c>
      <c r="E9" s="89">
        <f>C9/B9*100</f>
        <v>0</v>
      </c>
      <c r="Q9" s="69"/>
    </row>
    <row r="10" spans="1:25" ht="16" customHeight="1" x14ac:dyDescent="0.35">
      <c r="A10" s="85" t="s">
        <v>2</v>
      </c>
      <c r="B10" s="86">
        <f>GS!$G$3</f>
        <v>63</v>
      </c>
      <c r="C10" s="87">
        <f>GS!$H$3</f>
        <v>0</v>
      </c>
      <c r="D10" s="87">
        <f>GS!$I$3</f>
        <v>63</v>
      </c>
      <c r="E10" s="89">
        <f>C10/B10*100</f>
        <v>0</v>
      </c>
      <c r="Q10" s="69"/>
    </row>
    <row r="11" spans="1:25" ht="16" customHeight="1" thickBot="1" x14ac:dyDescent="0.4">
      <c r="A11" s="85" t="s">
        <v>69</v>
      </c>
      <c r="B11" s="90">
        <f>'English '!G3</f>
        <v>19</v>
      </c>
      <c r="C11" s="91">
        <f>'English '!H3</f>
        <v>0</v>
      </c>
      <c r="D11" s="91">
        <f>'English '!I3</f>
        <v>19</v>
      </c>
      <c r="E11" s="89">
        <f>C11/B11</f>
        <v>0</v>
      </c>
      <c r="Q11" s="69"/>
    </row>
    <row r="12" spans="1:25" ht="16" customHeight="1" thickBot="1" x14ac:dyDescent="0.4">
      <c r="A12" s="85" t="s">
        <v>72</v>
      </c>
      <c r="B12" s="92">
        <f>B11+B10+B9+B8</f>
        <v>176</v>
      </c>
      <c r="C12" s="92">
        <f>C11+C10+C9+C8</f>
        <v>0</v>
      </c>
      <c r="D12" s="92">
        <f>D11+D10+D9+D8</f>
        <v>167</v>
      </c>
      <c r="E12" s="93">
        <f>100-E13</f>
        <v>100</v>
      </c>
      <c r="Q12" s="69"/>
    </row>
    <row r="13" spans="1:25" s="76" customFormat="1" ht="16" customHeight="1" thickBot="1" x14ac:dyDescent="0.4">
      <c r="A13" s="94" t="s">
        <v>71</v>
      </c>
      <c r="B13" s="95"/>
      <c r="C13" s="96">
        <f>C12/B12*100</f>
        <v>0</v>
      </c>
      <c r="D13" s="96">
        <f>D12/B12*100</f>
        <v>94.88636363636364</v>
      </c>
      <c r="E13" s="93">
        <f>C12/B12*100</f>
        <v>0</v>
      </c>
      <c r="F13" s="64"/>
      <c r="G13" s="64"/>
      <c r="H13" s="64"/>
      <c r="I13" s="64"/>
      <c r="L13" s="64"/>
      <c r="M13" s="64"/>
      <c r="N13" s="64"/>
      <c r="O13" s="64"/>
      <c r="P13" s="64"/>
      <c r="Q13" s="69"/>
      <c r="R13" s="64"/>
      <c r="S13" s="64"/>
    </row>
    <row r="14" spans="1:25" s="76" customFormat="1" ht="16" customHeight="1" x14ac:dyDescent="0.35">
      <c r="A14" s="64"/>
      <c r="B14" s="64"/>
      <c r="C14" s="64"/>
      <c r="D14" s="64"/>
      <c r="E14" s="64"/>
      <c r="F14" s="64"/>
      <c r="G14" s="64"/>
      <c r="H14" s="64"/>
      <c r="I14" s="64"/>
      <c r="L14" s="64"/>
      <c r="M14" s="64"/>
      <c r="N14" s="64"/>
      <c r="O14" s="64"/>
      <c r="P14" s="64"/>
      <c r="Q14" s="69"/>
      <c r="R14" s="64"/>
      <c r="S14" s="64"/>
    </row>
    <row r="15" spans="1:25" s="76" customFormat="1" ht="16" customHeight="1" x14ac:dyDescent="0.35">
      <c r="A15" s="64"/>
      <c r="B15" s="64"/>
      <c r="C15" s="64"/>
      <c r="D15" s="64"/>
      <c r="E15" s="64"/>
      <c r="F15" s="64"/>
      <c r="G15" s="64"/>
      <c r="H15" s="64"/>
      <c r="I15" s="64"/>
      <c r="L15" s="64"/>
      <c r="M15" s="64"/>
      <c r="N15" s="64"/>
      <c r="O15" s="64"/>
      <c r="P15" s="64"/>
      <c r="Q15" s="69"/>
      <c r="R15" s="64"/>
      <c r="S15" s="64"/>
    </row>
    <row r="16" spans="1:25" s="76" customFormat="1" ht="16" customHeight="1" x14ac:dyDescent="0.35">
      <c r="A16" s="64"/>
      <c r="B16" s="64"/>
      <c r="C16" s="64"/>
      <c r="D16" s="64"/>
      <c r="E16" s="64"/>
      <c r="F16" s="64"/>
      <c r="G16" s="64"/>
      <c r="H16" s="64"/>
      <c r="I16" s="64"/>
      <c r="L16" s="64"/>
      <c r="M16" s="64"/>
      <c r="N16" s="64"/>
      <c r="O16" s="64"/>
      <c r="P16" s="64"/>
      <c r="Q16" s="69"/>
      <c r="R16" s="64"/>
      <c r="S16" s="64"/>
    </row>
    <row r="17" spans="1:31" s="76" customFormat="1" ht="16" customHeight="1" x14ac:dyDescent="0.35">
      <c r="A17" s="64"/>
      <c r="B17" s="64"/>
      <c r="C17" s="64"/>
      <c r="D17" s="64"/>
      <c r="E17" s="64"/>
      <c r="F17" s="64"/>
      <c r="G17" s="64"/>
      <c r="H17" s="64"/>
      <c r="I17" s="64"/>
      <c r="L17" s="64"/>
      <c r="N17" s="64"/>
      <c r="O17" s="64"/>
      <c r="P17" s="64"/>
      <c r="Q17" s="97"/>
      <c r="R17" s="64"/>
      <c r="S17" s="64"/>
    </row>
    <row r="18" spans="1:31" s="76" customFormat="1" ht="14.5" x14ac:dyDescent="0.35">
      <c r="A18" s="64"/>
      <c r="B18" s="64"/>
      <c r="C18" s="64"/>
      <c r="D18" s="64"/>
      <c r="E18" s="64"/>
      <c r="F18" s="64"/>
      <c r="G18" s="64"/>
      <c r="H18" s="64"/>
      <c r="I18" s="64"/>
      <c r="L18" s="64"/>
      <c r="N18" s="64"/>
      <c r="O18" s="64"/>
      <c r="P18" s="64"/>
      <c r="Q18" s="69"/>
      <c r="R18" s="64"/>
      <c r="S18" s="64"/>
    </row>
    <row r="19" spans="1:31" s="76" customFormat="1" ht="25" customHeight="1" x14ac:dyDescent="0.6">
      <c r="A19" s="64"/>
      <c r="B19" s="64"/>
      <c r="C19" s="64"/>
      <c r="D19" s="64"/>
      <c r="E19" s="64"/>
      <c r="F19" s="64"/>
      <c r="G19" s="64"/>
      <c r="H19" s="64"/>
      <c r="I19" s="64"/>
      <c r="L19" s="64"/>
      <c r="N19" s="98" t="s">
        <v>643</v>
      </c>
      <c r="O19" s="64"/>
      <c r="P19" s="64"/>
      <c r="Q19" s="69"/>
      <c r="R19" s="64"/>
      <c r="S19" s="64"/>
    </row>
    <row r="20" spans="1:31" s="76" customFormat="1" ht="16" customHeight="1" x14ac:dyDescent="0.35">
      <c r="A20" s="64"/>
      <c r="B20" s="64"/>
      <c r="C20" s="64"/>
      <c r="D20" s="64"/>
      <c r="E20" s="64"/>
      <c r="F20" s="64"/>
      <c r="G20" s="64"/>
      <c r="H20" s="64"/>
      <c r="I20" s="64"/>
      <c r="L20" s="64"/>
      <c r="M20" s="64"/>
      <c r="N20" s="64"/>
      <c r="O20" s="64"/>
      <c r="P20" s="64"/>
      <c r="Q20" s="69"/>
      <c r="R20" s="64"/>
      <c r="S20" s="64"/>
    </row>
    <row r="21" spans="1:31" ht="16" customHeight="1" x14ac:dyDescent="0.35">
      <c r="Q21" s="69"/>
    </row>
    <row r="22" spans="1:31" ht="16" customHeight="1" x14ac:dyDescent="0.35">
      <c r="Q22" s="69"/>
      <c r="R22" s="124" t="s">
        <v>475</v>
      </c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99"/>
      <c r="AD22" s="99"/>
      <c r="AE22" s="99"/>
    </row>
    <row r="23" spans="1:31" ht="16" customHeight="1" x14ac:dyDescent="0.55000000000000004">
      <c r="O23" s="72" t="s">
        <v>644</v>
      </c>
      <c r="Q23" s="69"/>
      <c r="R23" s="124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</row>
    <row r="24" spans="1:31" ht="16" customHeight="1" x14ac:dyDescent="0.35">
      <c r="Q24" s="69"/>
      <c r="R24" s="100" t="s">
        <v>476</v>
      </c>
      <c r="S24" s="100" t="s">
        <v>477</v>
      </c>
      <c r="T24" s="100" t="s">
        <v>486</v>
      </c>
      <c r="U24" s="100" t="s">
        <v>476</v>
      </c>
      <c r="V24" s="100" t="s">
        <v>477</v>
      </c>
      <c r="W24" s="100" t="s">
        <v>486</v>
      </c>
      <c r="X24" s="100" t="s">
        <v>476</v>
      </c>
      <c r="Y24" s="100" t="s">
        <v>477</v>
      </c>
      <c r="Z24" s="100" t="s">
        <v>486</v>
      </c>
      <c r="AA24" s="100"/>
      <c r="AB24" s="100"/>
    </row>
    <row r="25" spans="1:31" ht="16" customHeight="1" x14ac:dyDescent="0.35">
      <c r="Q25" s="69"/>
      <c r="R25" s="100" t="s">
        <v>478</v>
      </c>
      <c r="S25" s="100" t="s">
        <v>481</v>
      </c>
      <c r="T25" s="100" t="s">
        <v>479</v>
      </c>
      <c r="U25" s="100" t="s">
        <v>470</v>
      </c>
      <c r="V25" s="100" t="s">
        <v>25</v>
      </c>
      <c r="W25" s="100" t="s">
        <v>479</v>
      </c>
      <c r="X25" s="100" t="s">
        <v>471</v>
      </c>
      <c r="Y25" s="100" t="s">
        <v>484</v>
      </c>
      <c r="Z25" s="100" t="s">
        <v>479</v>
      </c>
      <c r="AA25" s="100"/>
      <c r="AB25" s="100"/>
    </row>
    <row r="26" spans="1:31" ht="16" customHeight="1" x14ac:dyDescent="0.35">
      <c r="Q26" s="69"/>
      <c r="R26" s="100" t="s">
        <v>478</v>
      </c>
      <c r="S26" s="100" t="s">
        <v>17</v>
      </c>
      <c r="T26" s="100" t="s">
        <v>480</v>
      </c>
      <c r="U26" s="100" t="s">
        <v>470</v>
      </c>
      <c r="V26" s="100" t="s">
        <v>39</v>
      </c>
      <c r="W26" s="100" t="s">
        <v>479</v>
      </c>
      <c r="X26" s="100" t="s">
        <v>471</v>
      </c>
      <c r="Y26" s="100" t="s">
        <v>485</v>
      </c>
      <c r="Z26" s="100" t="s">
        <v>479</v>
      </c>
      <c r="AA26" s="100"/>
      <c r="AB26" s="100"/>
    </row>
    <row r="27" spans="1:31" ht="16" customHeight="1" x14ac:dyDescent="0.35">
      <c r="Q27" s="69"/>
      <c r="R27" s="100" t="s">
        <v>478</v>
      </c>
      <c r="S27" s="100" t="s">
        <v>482</v>
      </c>
      <c r="T27" s="100" t="s">
        <v>479</v>
      </c>
      <c r="U27" s="100" t="s">
        <v>470</v>
      </c>
      <c r="V27" s="100" t="s">
        <v>41</v>
      </c>
      <c r="W27" s="100" t="s">
        <v>479</v>
      </c>
      <c r="X27" s="100" t="s">
        <v>472</v>
      </c>
      <c r="Y27" s="100" t="s">
        <v>58</v>
      </c>
      <c r="Z27" s="100" t="s">
        <v>479</v>
      </c>
      <c r="AA27" s="100"/>
      <c r="AB27" s="100"/>
    </row>
    <row r="28" spans="1:31" ht="16" customHeight="1" x14ac:dyDescent="0.35">
      <c r="Q28" s="69"/>
      <c r="R28" s="100" t="s">
        <v>478</v>
      </c>
      <c r="S28" s="100" t="s">
        <v>483</v>
      </c>
      <c r="T28" s="100" t="s">
        <v>479</v>
      </c>
      <c r="U28" s="100" t="s">
        <v>470</v>
      </c>
      <c r="V28" s="100" t="s">
        <v>42</v>
      </c>
      <c r="W28" s="100" t="s">
        <v>479</v>
      </c>
      <c r="X28" s="100" t="s">
        <v>472</v>
      </c>
      <c r="Y28" s="100" t="s">
        <v>119</v>
      </c>
      <c r="Z28" s="100" t="s">
        <v>479</v>
      </c>
      <c r="AA28" s="100"/>
      <c r="AB28" s="100"/>
    </row>
    <row r="29" spans="1:31" ht="16" customHeight="1" x14ac:dyDescent="0.35">
      <c r="Q29" s="69"/>
      <c r="R29" s="100" t="s">
        <v>478</v>
      </c>
      <c r="S29" s="100" t="s">
        <v>19</v>
      </c>
      <c r="T29" s="100" t="s">
        <v>479</v>
      </c>
      <c r="U29" s="100" t="s">
        <v>471</v>
      </c>
      <c r="V29" s="100" t="s">
        <v>99</v>
      </c>
      <c r="W29" s="100" t="s">
        <v>479</v>
      </c>
      <c r="X29" s="100" t="s">
        <v>472</v>
      </c>
      <c r="Y29" s="100" t="s">
        <v>120</v>
      </c>
      <c r="Z29" s="100" t="s">
        <v>479</v>
      </c>
      <c r="AA29" s="100"/>
      <c r="AB29" s="100"/>
    </row>
    <row r="30" spans="1:31" ht="16" customHeight="1" x14ac:dyDescent="0.35">
      <c r="Q30" s="69"/>
    </row>
    <row r="31" spans="1:31" ht="16" customHeight="1" x14ac:dyDescent="0.35">
      <c r="Q31" s="69"/>
    </row>
    <row r="32" spans="1:31" ht="16" customHeight="1" x14ac:dyDescent="0.35">
      <c r="Q32" s="69"/>
    </row>
    <row r="33" spans="17:17" ht="16" customHeight="1" x14ac:dyDescent="0.35">
      <c r="Q33" s="69"/>
    </row>
    <row r="34" spans="17:17" ht="16" customHeight="1" x14ac:dyDescent="0.35">
      <c r="Q34" s="69"/>
    </row>
    <row r="35" spans="17:17" ht="16" customHeight="1" x14ac:dyDescent="0.35">
      <c r="Q35" s="69"/>
    </row>
  </sheetData>
  <mergeCells count="9">
    <mergeCell ref="R7:S7"/>
    <mergeCell ref="R8:S8"/>
    <mergeCell ref="A1:M3"/>
    <mergeCell ref="R22:AB23"/>
    <mergeCell ref="R2:S2"/>
    <mergeCell ref="R3:S3"/>
    <mergeCell ref="R4:S4"/>
    <mergeCell ref="R5:S5"/>
    <mergeCell ref="R6:S6"/>
  </mergeCells>
  <conditionalFormatting sqref="E8:E11">
    <cfRule type="dataBar" priority="3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{C63A7352-5000-469D-9024-EABD2E85049B}</x14:id>
        </ext>
      </extLst>
    </cfRule>
  </conditionalFormatting>
  <conditionalFormatting sqref="T2:T8">
    <cfRule type="cellIs" dxfId="0" priority="1" stopIfTrue="1" operator="lessThan">
      <formula>60</formula>
    </cfRule>
  </conditionalFormatting>
  <pageMargins left="0.7" right="0.7" top="0.75" bottom="0.75" header="0.3" footer="0.3"/>
  <pageSetup scale="54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3A7352-5000-469D-9024-EABD2E85049B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E8:E11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06359-25C5-4240-8E0B-50DF34381CB3}">
  <dimension ref="A1:Z37"/>
  <sheetViews>
    <sheetView showGridLines="0" topLeftCell="E2" zoomScale="85" zoomScaleNormal="85" workbookViewId="0">
      <selection activeCell="W13" sqref="W13"/>
    </sheetView>
  </sheetViews>
  <sheetFormatPr defaultRowHeight="14.5" x14ac:dyDescent="0.35"/>
  <cols>
    <col min="1" max="1" width="7.6328125" hidden="1" customWidth="1"/>
    <col min="2" max="2" width="38.08984375" customWidth="1"/>
    <col min="3" max="3" width="31.1796875" customWidth="1"/>
    <col min="4" max="4" width="31.26953125" customWidth="1"/>
  </cols>
  <sheetData>
    <row r="1" spans="1:26" x14ac:dyDescent="0.35">
      <c r="A1" s="55" t="s">
        <v>528</v>
      </c>
      <c r="B1" s="56" t="s">
        <v>610</v>
      </c>
      <c r="C1" s="56" t="s">
        <v>524</v>
      </c>
      <c r="D1" s="57" t="s">
        <v>530</v>
      </c>
      <c r="E1" s="52"/>
      <c r="F1" s="52"/>
      <c r="G1" s="52"/>
    </row>
    <row r="2" spans="1:26" x14ac:dyDescent="0.35">
      <c r="A2" s="60">
        <v>1</v>
      </c>
      <c r="B2" s="53" t="s">
        <v>525</v>
      </c>
      <c r="C2" s="53" t="s">
        <v>526</v>
      </c>
      <c r="D2" s="54" t="s">
        <v>527</v>
      </c>
    </row>
    <row r="3" spans="1:26" x14ac:dyDescent="0.35">
      <c r="A3" s="60">
        <v>2</v>
      </c>
      <c r="B3" s="53" t="s">
        <v>529</v>
      </c>
      <c r="C3" s="53" t="s">
        <v>531</v>
      </c>
      <c r="D3" s="54" t="s">
        <v>532</v>
      </c>
    </row>
    <row r="4" spans="1:26" x14ac:dyDescent="0.35">
      <c r="A4" s="60">
        <v>3</v>
      </c>
      <c r="B4" s="53" t="s">
        <v>533</v>
      </c>
      <c r="C4" s="53" t="s">
        <v>534</v>
      </c>
      <c r="D4" s="54" t="s">
        <v>535</v>
      </c>
    </row>
    <row r="5" spans="1:26" x14ac:dyDescent="0.35">
      <c r="A5" s="60">
        <v>4</v>
      </c>
      <c r="B5" s="53" t="s">
        <v>536</v>
      </c>
      <c r="C5" s="53" t="s">
        <v>537</v>
      </c>
      <c r="D5" s="54" t="s">
        <v>538</v>
      </c>
      <c r="V5" s="62" t="s">
        <v>634</v>
      </c>
      <c r="W5" s="52"/>
      <c r="X5" s="52"/>
      <c r="Y5" s="52"/>
      <c r="Z5" s="52"/>
    </row>
    <row r="6" spans="1:26" x14ac:dyDescent="0.35">
      <c r="A6" s="60">
        <v>5</v>
      </c>
      <c r="B6" s="53" t="s">
        <v>539</v>
      </c>
      <c r="C6" s="53" t="s">
        <v>540</v>
      </c>
      <c r="D6" s="54" t="s">
        <v>541</v>
      </c>
      <c r="V6" s="62" t="s">
        <v>635</v>
      </c>
      <c r="W6" s="52"/>
      <c r="X6" s="52"/>
      <c r="Y6" s="52"/>
      <c r="Z6" s="52"/>
    </row>
    <row r="7" spans="1:26" x14ac:dyDescent="0.35">
      <c r="A7" s="60">
        <v>6</v>
      </c>
      <c r="B7" s="53" t="s">
        <v>542</v>
      </c>
      <c r="C7" s="53" t="s">
        <v>543</v>
      </c>
      <c r="D7" s="54" t="s">
        <v>544</v>
      </c>
      <c r="V7" s="62" t="s">
        <v>636</v>
      </c>
      <c r="W7" s="52"/>
      <c r="X7" s="52"/>
      <c r="Y7" s="52"/>
      <c r="Z7" s="52"/>
    </row>
    <row r="8" spans="1:26" x14ac:dyDescent="0.35">
      <c r="A8" s="60">
        <v>7</v>
      </c>
      <c r="B8" s="53" t="s">
        <v>545</v>
      </c>
      <c r="C8" s="53" t="s">
        <v>546</v>
      </c>
      <c r="D8" s="54" t="s">
        <v>547</v>
      </c>
      <c r="V8" s="62" t="s">
        <v>637</v>
      </c>
      <c r="W8" s="52"/>
      <c r="X8" s="52"/>
      <c r="Y8" s="52"/>
      <c r="Z8" s="52"/>
    </row>
    <row r="9" spans="1:26" x14ac:dyDescent="0.35">
      <c r="A9" s="60">
        <v>8</v>
      </c>
      <c r="B9" s="53" t="s">
        <v>548</v>
      </c>
      <c r="C9" s="53" t="s">
        <v>549</v>
      </c>
      <c r="D9" s="54" t="s">
        <v>550</v>
      </c>
      <c r="V9" s="62" t="s">
        <v>638</v>
      </c>
      <c r="W9" s="52"/>
      <c r="X9" s="52"/>
      <c r="Y9" s="52"/>
      <c r="Z9" s="52"/>
    </row>
    <row r="10" spans="1:26" x14ac:dyDescent="0.35">
      <c r="A10" s="60">
        <v>9</v>
      </c>
      <c r="B10" s="53" t="s">
        <v>551</v>
      </c>
      <c r="C10" s="53" t="s">
        <v>552</v>
      </c>
      <c r="D10" s="54" t="s">
        <v>553</v>
      </c>
    </row>
    <row r="11" spans="1:26" x14ac:dyDescent="0.35">
      <c r="A11" s="60">
        <v>10</v>
      </c>
      <c r="B11" s="53" t="s">
        <v>554</v>
      </c>
      <c r="C11" s="53" t="s">
        <v>555</v>
      </c>
      <c r="D11" s="54" t="s">
        <v>556</v>
      </c>
    </row>
    <row r="12" spans="1:26" x14ac:dyDescent="0.35">
      <c r="A12" s="60">
        <v>11</v>
      </c>
      <c r="B12" s="53" t="s">
        <v>557</v>
      </c>
      <c r="C12" s="53" t="s">
        <v>558</v>
      </c>
      <c r="D12" s="54" t="s">
        <v>559</v>
      </c>
    </row>
    <row r="13" spans="1:26" x14ac:dyDescent="0.35">
      <c r="A13" s="60">
        <v>12</v>
      </c>
      <c r="B13" s="53" t="s">
        <v>560</v>
      </c>
      <c r="C13" s="53" t="s">
        <v>561</v>
      </c>
      <c r="D13" s="54" t="s">
        <v>562</v>
      </c>
    </row>
    <row r="14" spans="1:26" x14ac:dyDescent="0.35">
      <c r="A14" s="60">
        <v>13</v>
      </c>
      <c r="B14" s="53" t="s">
        <v>563</v>
      </c>
      <c r="C14" s="53" t="s">
        <v>564</v>
      </c>
      <c r="D14" s="54" t="s">
        <v>565</v>
      </c>
    </row>
    <row r="15" spans="1:26" ht="28.5" x14ac:dyDescent="0.65">
      <c r="A15" s="60">
        <v>14</v>
      </c>
      <c r="B15" s="53" t="s">
        <v>566</v>
      </c>
      <c r="C15" s="53" t="s">
        <v>567</v>
      </c>
      <c r="D15" s="54" t="s">
        <v>568</v>
      </c>
      <c r="V15" s="63" t="s">
        <v>639</v>
      </c>
    </row>
    <row r="16" spans="1:26" x14ac:dyDescent="0.35">
      <c r="A16" s="60">
        <v>15</v>
      </c>
      <c r="B16" s="53" t="s">
        <v>569</v>
      </c>
      <c r="C16" s="53" t="s">
        <v>570</v>
      </c>
      <c r="D16" s="54" t="s">
        <v>571</v>
      </c>
    </row>
    <row r="17" spans="1:24" x14ac:dyDescent="0.35">
      <c r="A17" s="60">
        <v>16</v>
      </c>
      <c r="B17" s="53" t="s">
        <v>572</v>
      </c>
      <c r="C17" s="53" t="s">
        <v>573</v>
      </c>
      <c r="D17" s="54" t="s">
        <v>574</v>
      </c>
    </row>
    <row r="18" spans="1:24" x14ac:dyDescent="0.35">
      <c r="A18" s="60">
        <v>17</v>
      </c>
      <c r="B18" s="53" t="s">
        <v>575</v>
      </c>
      <c r="C18" s="53" t="s">
        <v>576</v>
      </c>
      <c r="D18" s="54" t="s">
        <v>577</v>
      </c>
    </row>
    <row r="19" spans="1:24" x14ac:dyDescent="0.35">
      <c r="A19" s="60">
        <v>18</v>
      </c>
      <c r="B19" s="53" t="s">
        <v>578</v>
      </c>
      <c r="C19" s="53" t="s">
        <v>579</v>
      </c>
      <c r="D19" s="54" t="s">
        <v>580</v>
      </c>
    </row>
    <row r="20" spans="1:24" ht="28.5" x14ac:dyDescent="0.65">
      <c r="A20" s="60">
        <v>19</v>
      </c>
      <c r="B20" s="53" t="s">
        <v>581</v>
      </c>
      <c r="C20" s="53" t="s">
        <v>582</v>
      </c>
      <c r="D20" s="54" t="s">
        <v>583</v>
      </c>
      <c r="T20" s="63" t="s">
        <v>641</v>
      </c>
      <c r="W20" s="63"/>
      <c r="X20" s="63" t="s">
        <v>642</v>
      </c>
    </row>
    <row r="21" spans="1:24" x14ac:dyDescent="0.35">
      <c r="A21" s="60">
        <v>20</v>
      </c>
      <c r="B21" s="53" t="s">
        <v>584</v>
      </c>
      <c r="C21" s="53" t="s">
        <v>549</v>
      </c>
      <c r="D21" s="54" t="s">
        <v>585</v>
      </c>
    </row>
    <row r="22" spans="1:24" x14ac:dyDescent="0.35">
      <c r="A22" s="60">
        <v>21</v>
      </c>
      <c r="B22" s="53" t="s">
        <v>586</v>
      </c>
      <c r="C22" s="53" t="s">
        <v>587</v>
      </c>
      <c r="D22" s="54" t="s">
        <v>588</v>
      </c>
    </row>
    <row r="23" spans="1:24" x14ac:dyDescent="0.35">
      <c r="A23" s="60">
        <v>22</v>
      </c>
      <c r="B23" s="53" t="s">
        <v>589</v>
      </c>
      <c r="C23" s="53" t="s">
        <v>590</v>
      </c>
      <c r="D23" s="54" t="s">
        <v>591</v>
      </c>
    </row>
    <row r="24" spans="1:24" x14ac:dyDescent="0.35">
      <c r="A24" s="60">
        <v>23</v>
      </c>
      <c r="B24" s="53" t="s">
        <v>592</v>
      </c>
      <c r="C24" s="53" t="s">
        <v>593</v>
      </c>
      <c r="D24" s="54" t="s">
        <v>594</v>
      </c>
    </row>
    <row r="25" spans="1:24" ht="28.5" x14ac:dyDescent="0.65">
      <c r="A25" s="60">
        <v>24</v>
      </c>
      <c r="B25" s="53" t="s">
        <v>595</v>
      </c>
      <c r="C25" s="53" t="s">
        <v>596</v>
      </c>
      <c r="D25" s="54" t="s">
        <v>597</v>
      </c>
      <c r="V25" s="63" t="s">
        <v>640</v>
      </c>
    </row>
    <row r="26" spans="1:24" x14ac:dyDescent="0.35">
      <c r="A26" s="60">
        <v>25</v>
      </c>
      <c r="B26" s="53" t="s">
        <v>598</v>
      </c>
      <c r="C26" s="53" t="s">
        <v>599</v>
      </c>
      <c r="D26" s="54" t="s">
        <v>600</v>
      </c>
    </row>
    <row r="27" spans="1:24" x14ac:dyDescent="0.35">
      <c r="A27" s="60">
        <v>26</v>
      </c>
      <c r="B27" s="53" t="s">
        <v>601</v>
      </c>
      <c r="C27" s="53" t="s">
        <v>602</v>
      </c>
      <c r="D27" s="54" t="s">
        <v>603</v>
      </c>
    </row>
    <row r="28" spans="1:24" x14ac:dyDescent="0.35">
      <c r="A28" s="60">
        <v>27</v>
      </c>
      <c r="B28" s="53" t="s">
        <v>604</v>
      </c>
      <c r="C28" s="53" t="s">
        <v>605</v>
      </c>
      <c r="D28" s="54" t="s">
        <v>606</v>
      </c>
    </row>
    <row r="29" spans="1:24" x14ac:dyDescent="0.35">
      <c r="A29" s="61">
        <v>28</v>
      </c>
      <c r="B29" s="58" t="s">
        <v>607</v>
      </c>
      <c r="C29" s="58" t="s">
        <v>608</v>
      </c>
      <c r="D29" s="59" t="s">
        <v>609</v>
      </c>
    </row>
    <row r="30" spans="1:24" x14ac:dyDescent="0.35">
      <c r="A30" s="61">
        <v>29</v>
      </c>
      <c r="B30" s="53" t="s">
        <v>626</v>
      </c>
      <c r="C30" s="53" t="s">
        <v>611</v>
      </c>
      <c r="D30" s="54" t="s">
        <v>612</v>
      </c>
    </row>
    <row r="31" spans="1:24" x14ac:dyDescent="0.35">
      <c r="A31" s="61">
        <v>30</v>
      </c>
      <c r="B31" s="53" t="s">
        <v>627</v>
      </c>
      <c r="C31" s="53" t="s">
        <v>549</v>
      </c>
      <c r="D31" s="54" t="s">
        <v>613</v>
      </c>
    </row>
    <row r="32" spans="1:24" x14ac:dyDescent="0.35">
      <c r="A32" s="61">
        <v>31</v>
      </c>
      <c r="B32" s="53" t="s">
        <v>628</v>
      </c>
      <c r="C32" s="53" t="s">
        <v>614</v>
      </c>
      <c r="D32" s="54" t="s">
        <v>615</v>
      </c>
    </row>
    <row r="33" spans="1:4" x14ac:dyDescent="0.35">
      <c r="A33" s="61">
        <v>32</v>
      </c>
      <c r="B33" s="53" t="s">
        <v>629</v>
      </c>
      <c r="C33" s="53" t="s">
        <v>616</v>
      </c>
      <c r="D33" s="54" t="s">
        <v>617</v>
      </c>
    </row>
    <row r="34" spans="1:4" x14ac:dyDescent="0.35">
      <c r="A34" s="61">
        <v>33</v>
      </c>
      <c r="B34" s="53" t="s">
        <v>630</v>
      </c>
      <c r="C34" s="53" t="s">
        <v>618</v>
      </c>
      <c r="D34" s="54" t="s">
        <v>619</v>
      </c>
    </row>
    <row r="35" spans="1:4" x14ac:dyDescent="0.35">
      <c r="A35" s="61">
        <v>34</v>
      </c>
      <c r="B35" s="53" t="s">
        <v>631</v>
      </c>
      <c r="C35" s="53" t="s">
        <v>620</v>
      </c>
      <c r="D35" s="54" t="s">
        <v>621</v>
      </c>
    </row>
    <row r="36" spans="1:4" x14ac:dyDescent="0.35">
      <c r="A36" s="61">
        <v>35</v>
      </c>
      <c r="B36" s="53" t="s">
        <v>632</v>
      </c>
      <c r="C36" s="53" t="s">
        <v>622</v>
      </c>
      <c r="D36" s="54" t="s">
        <v>623</v>
      </c>
    </row>
    <row r="37" spans="1:4" x14ac:dyDescent="0.35">
      <c r="A37" s="61">
        <v>36</v>
      </c>
      <c r="B37" s="58" t="s">
        <v>633</v>
      </c>
      <c r="C37" s="58" t="s">
        <v>624</v>
      </c>
      <c r="D37" s="59" t="s">
        <v>625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E03D3-3A6A-4531-9977-08197B48914D}">
  <sheetPr codeName="Sheet2"/>
  <dimension ref="A1:W1048576"/>
  <sheetViews>
    <sheetView showGridLines="0" view="pageBreakPreview" zoomScale="85" zoomScaleNormal="85" zoomScaleSheetLayoutView="85" workbookViewId="0">
      <selection activeCell="S10" sqref="S10"/>
    </sheetView>
  </sheetViews>
  <sheetFormatPr defaultRowHeight="14.5" x14ac:dyDescent="0.35"/>
  <cols>
    <col min="3" max="3" width="11.6328125" customWidth="1"/>
    <col min="4" max="4" width="0" hidden="1" customWidth="1"/>
    <col min="5" max="5" width="8.7265625" customWidth="1"/>
    <col min="7" max="7" width="14.6328125" customWidth="1"/>
    <col min="8" max="8" width="0" hidden="1" customWidth="1"/>
    <col min="10" max="10" width="9.6328125" customWidth="1"/>
    <col min="11" max="11" width="18.1796875" customWidth="1"/>
    <col min="12" max="12" width="0" hidden="1" customWidth="1"/>
    <col min="15" max="15" width="14.7265625" customWidth="1"/>
    <col min="16" max="16" width="0" hidden="1" customWidth="1"/>
  </cols>
  <sheetData>
    <row r="1" spans="1:23" ht="14.5" customHeight="1" x14ac:dyDescent="0.35">
      <c r="A1" s="134" t="s">
        <v>262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6"/>
    </row>
    <row r="2" spans="1:23" ht="9.5" customHeight="1" x14ac:dyDescent="0.35">
      <c r="A2" s="137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9"/>
    </row>
    <row r="3" spans="1:23" ht="7.5" customHeight="1" x14ac:dyDescent="0.35">
      <c r="A3" s="137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9"/>
    </row>
    <row r="4" spans="1:23" ht="24" customHeight="1" x14ac:dyDescent="0.35">
      <c r="A4" s="140" t="s">
        <v>2</v>
      </c>
      <c r="B4" s="131"/>
      <c r="C4" s="131"/>
      <c r="D4" s="131"/>
      <c r="E4" s="131" t="s">
        <v>1</v>
      </c>
      <c r="F4" s="131"/>
      <c r="G4" s="131"/>
      <c r="H4" s="131"/>
      <c r="I4" s="131" t="s">
        <v>2</v>
      </c>
      <c r="J4" s="131"/>
      <c r="K4" s="131"/>
      <c r="L4" s="131"/>
      <c r="M4" s="131" t="s">
        <v>3</v>
      </c>
      <c r="N4" s="131"/>
      <c r="O4" s="131"/>
      <c r="P4" s="132"/>
    </row>
    <row r="5" spans="1:23" x14ac:dyDescent="0.35">
      <c r="A5" s="108" t="s">
        <v>4</v>
      </c>
      <c r="B5" s="133" t="s">
        <v>5</v>
      </c>
      <c r="C5" s="133"/>
      <c r="D5" s="107"/>
      <c r="E5" s="106" t="s">
        <v>4</v>
      </c>
      <c r="F5" s="107" t="s">
        <v>22</v>
      </c>
      <c r="G5" s="107"/>
      <c r="H5" s="107"/>
      <c r="I5" s="107" t="s">
        <v>21</v>
      </c>
      <c r="J5" s="133" t="s">
        <v>43</v>
      </c>
      <c r="K5" s="133"/>
      <c r="L5" s="107"/>
      <c r="M5" s="107" t="s">
        <v>21</v>
      </c>
      <c r="N5" s="107" t="s">
        <v>50</v>
      </c>
      <c r="O5" s="107"/>
      <c r="P5" s="109"/>
      <c r="Q5" s="2"/>
    </row>
    <row r="6" spans="1:23" x14ac:dyDescent="0.35">
      <c r="A6" s="110">
        <v>1</v>
      </c>
      <c r="B6" s="10" t="s">
        <v>6</v>
      </c>
      <c r="C6" s="10"/>
      <c r="D6" s="19" t="b">
        <v>1</v>
      </c>
      <c r="E6" s="11">
        <v>1</v>
      </c>
      <c r="F6" s="12" t="str">
        <f>Reasoning!B3</f>
        <v>Analogy</v>
      </c>
      <c r="G6" s="12"/>
      <c r="H6" s="20" t="b">
        <v>1</v>
      </c>
      <c r="I6" s="129" t="s">
        <v>252</v>
      </c>
      <c r="J6" s="129"/>
      <c r="K6" s="129"/>
      <c r="L6" s="129"/>
      <c r="M6" s="17">
        <v>1</v>
      </c>
      <c r="N6" s="18" t="str">
        <f>'English '!B3</f>
        <v>Grammar</v>
      </c>
      <c r="O6" s="18"/>
      <c r="P6" s="111" t="b">
        <v>0</v>
      </c>
    </row>
    <row r="7" spans="1:23" x14ac:dyDescent="0.35">
      <c r="A7" s="112">
        <v>2</v>
      </c>
      <c r="B7" s="10" t="s">
        <v>7</v>
      </c>
      <c r="C7" s="10"/>
      <c r="D7" s="19" t="b">
        <v>1</v>
      </c>
      <c r="E7" s="11">
        <v>2</v>
      </c>
      <c r="F7" s="12" t="str">
        <f>Reasoning!B7</f>
        <v>Classification</v>
      </c>
      <c r="G7" s="12"/>
      <c r="H7" s="20" t="b">
        <v>1</v>
      </c>
      <c r="I7" s="14">
        <v>1</v>
      </c>
      <c r="J7" s="15" t="str">
        <f>GS!B3</f>
        <v>Ancient History</v>
      </c>
      <c r="K7" s="15"/>
      <c r="L7" s="16" t="b">
        <v>0</v>
      </c>
      <c r="M7" s="17">
        <v>2</v>
      </c>
      <c r="N7" s="18" t="str">
        <f>'English '!B14</f>
        <v>Vocabulary</v>
      </c>
      <c r="O7" s="18"/>
      <c r="P7" s="111" t="b">
        <v>0</v>
      </c>
    </row>
    <row r="8" spans="1:23" x14ac:dyDescent="0.35">
      <c r="A8" s="112">
        <v>3</v>
      </c>
      <c r="B8" s="10" t="s">
        <v>17</v>
      </c>
      <c r="C8" s="10"/>
      <c r="D8" s="19" t="b">
        <v>1</v>
      </c>
      <c r="E8" s="11">
        <v>3</v>
      </c>
      <c r="F8" s="12" t="str">
        <f>Reasoning!B11</f>
        <v>Series</v>
      </c>
      <c r="G8" s="12"/>
      <c r="H8" s="20" t="b">
        <v>1</v>
      </c>
      <c r="I8" s="14">
        <v>2</v>
      </c>
      <c r="J8" s="15" t="str">
        <f>GS!B8</f>
        <v>Medieval History</v>
      </c>
      <c r="K8" s="15"/>
      <c r="L8" s="16" t="b">
        <v>0</v>
      </c>
      <c r="M8" s="17">
        <v>3</v>
      </c>
      <c r="N8" s="18" t="str">
        <f>'English '!B18</f>
        <v>Comprehension</v>
      </c>
      <c r="O8" s="18"/>
      <c r="P8" s="111" t="b">
        <v>0</v>
      </c>
    </row>
    <row r="9" spans="1:23" x14ac:dyDescent="0.35">
      <c r="A9" s="112">
        <v>4</v>
      </c>
      <c r="B9" s="10" t="s">
        <v>8</v>
      </c>
      <c r="C9" s="10"/>
      <c r="D9" s="19" t="b">
        <v>1</v>
      </c>
      <c r="E9" s="11">
        <v>4</v>
      </c>
      <c r="F9" s="12" t="str">
        <f>Reasoning!B15</f>
        <v>Coding-Decoding</v>
      </c>
      <c r="G9" s="12"/>
      <c r="H9" s="20" t="b">
        <v>0</v>
      </c>
      <c r="I9" s="14">
        <v>3</v>
      </c>
      <c r="J9" s="15" t="str">
        <f>GS!B11</f>
        <v>Modern History</v>
      </c>
      <c r="K9" s="15"/>
      <c r="L9" s="16" t="b">
        <v>0</v>
      </c>
      <c r="M9" s="17">
        <v>4</v>
      </c>
      <c r="N9" s="18" t="str">
        <f>'English '!B19</f>
        <v>Error Detection</v>
      </c>
      <c r="O9" s="18"/>
      <c r="P9" s="111" t="b">
        <v>0</v>
      </c>
    </row>
    <row r="10" spans="1:23" ht="16" customHeight="1" x14ac:dyDescent="0.5">
      <c r="A10" s="112">
        <v>5</v>
      </c>
      <c r="B10" s="10" t="s">
        <v>490</v>
      </c>
      <c r="C10" s="10"/>
      <c r="D10" s="19" t="b">
        <v>1</v>
      </c>
      <c r="E10" s="11">
        <v>5</v>
      </c>
      <c r="F10" s="12" t="str">
        <f>Reasoning!B19</f>
        <v>Blood Relation</v>
      </c>
      <c r="G10" s="12"/>
      <c r="H10" s="20" t="b">
        <v>0</v>
      </c>
      <c r="I10" s="129" t="s">
        <v>253</v>
      </c>
      <c r="J10" s="129"/>
      <c r="K10" s="129"/>
      <c r="L10" s="129"/>
      <c r="M10" s="17">
        <v>5</v>
      </c>
      <c r="N10" s="18" t="str">
        <f>'English '!B20</f>
        <v>Sentence Improvement</v>
      </c>
      <c r="O10" s="18"/>
      <c r="P10" s="111" t="b">
        <v>0</v>
      </c>
      <c r="W10" s="7"/>
    </row>
    <row r="11" spans="1:23" x14ac:dyDescent="0.35">
      <c r="A11" s="112">
        <v>6</v>
      </c>
      <c r="B11" s="10" t="s">
        <v>83</v>
      </c>
      <c r="C11" s="10"/>
      <c r="D11" s="19" t="b">
        <v>0</v>
      </c>
      <c r="E11" s="11">
        <v>6</v>
      </c>
      <c r="F11" s="12" t="str">
        <f>Reasoning!B22</f>
        <v>Direction &amp; Distance</v>
      </c>
      <c r="G11" s="12"/>
      <c r="H11" s="20" t="b">
        <v>0</v>
      </c>
      <c r="I11" s="14">
        <v>1</v>
      </c>
      <c r="J11" s="15" t="str">
        <f>GS!B16</f>
        <v>Physical Geography</v>
      </c>
      <c r="K11" s="15"/>
      <c r="L11" s="15"/>
      <c r="M11" s="17">
        <v>6</v>
      </c>
      <c r="N11" s="18" t="str">
        <f>'English '!B21</f>
        <v>Cloze Test</v>
      </c>
      <c r="O11" s="18"/>
      <c r="P11" s="111" t="b">
        <v>0</v>
      </c>
    </row>
    <row r="12" spans="1:23" x14ac:dyDescent="0.35">
      <c r="A12" s="112">
        <v>7</v>
      </c>
      <c r="B12" s="10" t="s">
        <v>12</v>
      </c>
      <c r="C12" s="10"/>
      <c r="D12" s="19" t="b">
        <v>1</v>
      </c>
      <c r="E12" s="11">
        <v>7</v>
      </c>
      <c r="F12" s="12" t="str">
        <f>Reasoning!B25</f>
        <v>Syllogism</v>
      </c>
      <c r="G12" s="12"/>
      <c r="H12" s="20" t="b">
        <v>0</v>
      </c>
      <c r="I12" s="14">
        <v>2</v>
      </c>
      <c r="J12" s="15" t="str">
        <f>GS!B20</f>
        <v>Indian Geography</v>
      </c>
      <c r="K12" s="15"/>
      <c r="L12" s="15"/>
      <c r="M12" s="17"/>
      <c r="N12" s="18"/>
      <c r="O12" s="18"/>
      <c r="P12" s="113"/>
    </row>
    <row r="13" spans="1:23" x14ac:dyDescent="0.35">
      <c r="A13" s="112">
        <v>8</v>
      </c>
      <c r="B13" s="10" t="s">
        <v>13</v>
      </c>
      <c r="C13" s="10"/>
      <c r="D13" s="19" t="b">
        <v>1</v>
      </c>
      <c r="E13" s="11">
        <v>8</v>
      </c>
      <c r="F13" s="12" t="str">
        <f>Reasoning!B28</f>
        <v>Statement Based</v>
      </c>
      <c r="G13" s="12"/>
      <c r="H13" s="20" t="b">
        <v>0</v>
      </c>
      <c r="I13" s="14">
        <v>3</v>
      </c>
      <c r="J13" s="15" t="str">
        <f>GS!B24</f>
        <v>World Geography</v>
      </c>
      <c r="K13" s="15"/>
      <c r="L13" s="16" t="b">
        <v>0</v>
      </c>
      <c r="M13" s="17"/>
      <c r="N13" s="18"/>
      <c r="O13" s="18"/>
      <c r="P13" s="113"/>
    </row>
    <row r="14" spans="1:23" x14ac:dyDescent="0.35">
      <c r="A14" s="112">
        <v>9</v>
      </c>
      <c r="B14" s="10" t="s">
        <v>489</v>
      </c>
      <c r="C14" s="10"/>
      <c r="D14" s="19" t="b">
        <v>1</v>
      </c>
      <c r="E14" s="11">
        <v>9</v>
      </c>
      <c r="F14" s="12" t="str">
        <f>Reasoning!B31</f>
        <v>Seating Arrangement</v>
      </c>
      <c r="G14" s="12"/>
      <c r="H14" s="20" t="b">
        <v>0</v>
      </c>
      <c r="I14" s="128" t="s">
        <v>254</v>
      </c>
      <c r="J14" s="128"/>
      <c r="K14" s="128"/>
      <c r="L14" s="128"/>
      <c r="M14" s="17"/>
      <c r="N14" s="18"/>
      <c r="O14" s="18"/>
      <c r="P14" s="113"/>
    </row>
    <row r="15" spans="1:23" x14ac:dyDescent="0.35">
      <c r="A15" s="112">
        <v>10</v>
      </c>
      <c r="B15" s="10" t="s">
        <v>14</v>
      </c>
      <c r="C15" s="10"/>
      <c r="D15" s="19" t="b">
        <v>0</v>
      </c>
      <c r="E15" s="11">
        <v>10</v>
      </c>
      <c r="F15" s="12" t="str">
        <f>Reasoning!B34</f>
        <v>Puzzle</v>
      </c>
      <c r="G15" s="12"/>
      <c r="H15" s="20" t="b">
        <v>0</v>
      </c>
      <c r="I15" s="14">
        <v>1</v>
      </c>
      <c r="J15" s="15" t="str">
        <f>GS!B25</f>
        <v>Constitution</v>
      </c>
      <c r="K15" s="15"/>
      <c r="L15" s="16" t="b">
        <v>0</v>
      </c>
      <c r="M15" s="17"/>
      <c r="N15" s="18"/>
      <c r="O15" s="18"/>
      <c r="P15" s="113"/>
    </row>
    <row r="16" spans="1:23" x14ac:dyDescent="0.35">
      <c r="A16" s="112">
        <v>11</v>
      </c>
      <c r="B16" s="10" t="s">
        <v>10</v>
      </c>
      <c r="C16" s="10"/>
      <c r="D16" s="19" t="b">
        <v>0</v>
      </c>
      <c r="E16" s="11">
        <v>11</v>
      </c>
      <c r="F16" s="12" t="str">
        <f>Reasoning!B37</f>
        <v>Ranking &amp; Order</v>
      </c>
      <c r="G16" s="12"/>
      <c r="H16" s="20" t="b">
        <v>0</v>
      </c>
      <c r="I16" s="14">
        <v>2</v>
      </c>
      <c r="J16" s="15" t="str">
        <f>GS!B30</f>
        <v>Central Government</v>
      </c>
      <c r="K16" s="15"/>
      <c r="L16" s="16" t="b">
        <v>0</v>
      </c>
      <c r="M16" s="17"/>
      <c r="N16" s="18"/>
      <c r="O16" s="18"/>
      <c r="P16" s="113"/>
    </row>
    <row r="17" spans="1:16" x14ac:dyDescent="0.35">
      <c r="A17" s="112">
        <v>12</v>
      </c>
      <c r="B17" s="10" t="s">
        <v>491</v>
      </c>
      <c r="C17" s="10"/>
      <c r="D17" s="19" t="b">
        <v>0</v>
      </c>
      <c r="E17" s="11">
        <v>12</v>
      </c>
      <c r="F17" s="12" t="str">
        <f>Reasoning!B39</f>
        <v>Inequality</v>
      </c>
      <c r="G17" s="12"/>
      <c r="H17" s="20" t="b">
        <v>0</v>
      </c>
      <c r="I17" s="14">
        <v>3</v>
      </c>
      <c r="J17" s="15" t="str">
        <f>GS!B33</f>
        <v>Judiciary</v>
      </c>
      <c r="K17" s="15"/>
      <c r="L17" s="16" t="b">
        <v>0</v>
      </c>
      <c r="M17" s="17"/>
      <c r="N17" s="18"/>
      <c r="O17" s="18"/>
      <c r="P17" s="113"/>
    </row>
    <row r="18" spans="1:16" x14ac:dyDescent="0.35">
      <c r="A18" s="112">
        <v>13</v>
      </c>
      <c r="B18" s="10" t="s">
        <v>492</v>
      </c>
      <c r="C18" s="10"/>
      <c r="D18" s="19" t="b">
        <v>0</v>
      </c>
      <c r="E18" s="11">
        <v>13</v>
      </c>
      <c r="F18" s="12" t="str">
        <f>Reasoning!B41</f>
        <v>Mathematical Operations</v>
      </c>
      <c r="G18" s="12"/>
      <c r="H18" s="20" t="b">
        <v>0</v>
      </c>
      <c r="I18" s="14">
        <v>4</v>
      </c>
      <c r="J18" s="15" t="str">
        <f>GS!B35</f>
        <v>Miscellaneous</v>
      </c>
      <c r="K18" s="15"/>
      <c r="L18" s="16" t="b">
        <v>0</v>
      </c>
      <c r="M18" s="17"/>
      <c r="N18" s="18"/>
      <c r="O18" s="18"/>
      <c r="P18" s="113"/>
    </row>
    <row r="19" spans="1:16" x14ac:dyDescent="0.35">
      <c r="A19" s="112">
        <v>14</v>
      </c>
      <c r="B19" s="10" t="s">
        <v>493</v>
      </c>
      <c r="C19" s="10"/>
      <c r="D19" s="19" t="b">
        <v>0</v>
      </c>
      <c r="E19" s="130" t="str">
        <f>Reasoning!B43</f>
        <v>Non-Verbal</v>
      </c>
      <c r="F19" s="130"/>
      <c r="G19" s="130"/>
      <c r="H19" s="130"/>
      <c r="I19" s="128" t="s">
        <v>255</v>
      </c>
      <c r="J19" s="128"/>
      <c r="K19" s="128"/>
      <c r="L19" s="128"/>
      <c r="M19" s="17"/>
      <c r="N19" s="18"/>
      <c r="O19" s="18"/>
      <c r="P19" s="113"/>
    </row>
    <row r="20" spans="1:16" x14ac:dyDescent="0.35">
      <c r="A20" s="112">
        <v>15</v>
      </c>
      <c r="B20" s="10" t="s">
        <v>494</v>
      </c>
      <c r="C20" s="10"/>
      <c r="D20" s="19" t="b">
        <v>0</v>
      </c>
      <c r="E20" s="11">
        <v>1</v>
      </c>
      <c r="F20" s="12" t="str">
        <f>Reasoning!C43</f>
        <v>Mirror Image</v>
      </c>
      <c r="G20" s="12"/>
      <c r="H20" s="20" t="b">
        <v>0</v>
      </c>
      <c r="I20" s="14">
        <v>1</v>
      </c>
      <c r="J20" s="15" t="str">
        <f>GS!B37</f>
        <v>Basic Concepts</v>
      </c>
      <c r="K20" s="15"/>
      <c r="L20" s="16" t="b">
        <v>0</v>
      </c>
      <c r="M20" s="17"/>
      <c r="N20" s="18"/>
      <c r="O20" s="18"/>
      <c r="P20" s="113"/>
    </row>
    <row r="21" spans="1:16" x14ac:dyDescent="0.35">
      <c r="A21" s="112">
        <v>16</v>
      </c>
      <c r="B21" s="10" t="s">
        <v>495</v>
      </c>
      <c r="C21" s="10"/>
      <c r="D21" s="19" t="b">
        <v>0</v>
      </c>
      <c r="E21" s="11">
        <v>2</v>
      </c>
      <c r="F21" s="12" t="str">
        <f>Reasoning!C44</f>
        <v>Water Image</v>
      </c>
      <c r="G21" s="12"/>
      <c r="H21" s="20" t="b">
        <v>0</v>
      </c>
      <c r="I21" s="14">
        <v>2</v>
      </c>
      <c r="J21" s="15" t="str">
        <f>GS!B38</f>
        <v>National Income</v>
      </c>
      <c r="K21" s="15"/>
      <c r="L21" s="16" t="b">
        <v>0</v>
      </c>
      <c r="M21" s="17"/>
      <c r="N21" s="18"/>
      <c r="O21" s="18"/>
      <c r="P21" s="113"/>
    </row>
    <row r="22" spans="1:16" x14ac:dyDescent="0.35">
      <c r="A22" s="112">
        <v>17</v>
      </c>
      <c r="B22" s="10" t="s">
        <v>18</v>
      </c>
      <c r="C22" s="10"/>
      <c r="D22" s="19" t="b">
        <v>0</v>
      </c>
      <c r="E22" s="11">
        <v>3</v>
      </c>
      <c r="F22" s="12" t="str">
        <f>Reasoning!C45</f>
        <v>Paper Folding</v>
      </c>
      <c r="G22" s="12"/>
      <c r="H22" s="20" t="b">
        <v>0</v>
      </c>
      <c r="I22" s="14">
        <v>3</v>
      </c>
      <c r="J22" s="15" t="str">
        <f>GS!B39</f>
        <v>Inflation</v>
      </c>
      <c r="K22" s="15"/>
      <c r="L22" s="16" t="b">
        <v>0</v>
      </c>
      <c r="M22" s="17"/>
      <c r="N22" s="18"/>
      <c r="O22" s="18"/>
      <c r="P22" s="113"/>
    </row>
    <row r="23" spans="1:16" x14ac:dyDescent="0.35">
      <c r="A23" s="112">
        <v>18</v>
      </c>
      <c r="B23" s="10" t="s">
        <v>496</v>
      </c>
      <c r="C23" s="10"/>
      <c r="D23" s="19" t="b">
        <v>0</v>
      </c>
      <c r="E23" s="11">
        <v>4</v>
      </c>
      <c r="F23" s="12" t="str">
        <f>Reasoning!C46</f>
        <v>Embedded Figure</v>
      </c>
      <c r="G23" s="12"/>
      <c r="H23" s="20" t="b">
        <v>0</v>
      </c>
      <c r="I23" s="14">
        <v>4</v>
      </c>
      <c r="J23" s="15" t="str">
        <f>GS!B40</f>
        <v>Banking</v>
      </c>
      <c r="K23" s="15"/>
      <c r="L23" s="16" t="b">
        <v>0</v>
      </c>
      <c r="M23" s="17"/>
      <c r="N23" s="18"/>
      <c r="O23" s="18"/>
      <c r="P23" s="113"/>
    </row>
    <row r="24" spans="1:16" x14ac:dyDescent="0.35">
      <c r="A24" s="112">
        <v>19</v>
      </c>
      <c r="B24" s="10" t="s">
        <v>497</v>
      </c>
      <c r="C24" s="10"/>
      <c r="D24" s="19" t="b">
        <v>0</v>
      </c>
      <c r="E24" s="11">
        <v>5</v>
      </c>
      <c r="F24" s="12" t="str">
        <f>Reasoning!C47</f>
        <v>Figure Series</v>
      </c>
      <c r="G24" s="13"/>
      <c r="H24" s="20" t="b">
        <v>0</v>
      </c>
      <c r="I24" s="14">
        <v>5</v>
      </c>
      <c r="J24" s="15" t="str">
        <f>GS!B42</f>
        <v>Public Finance</v>
      </c>
      <c r="K24" s="15"/>
      <c r="L24" s="16" t="b">
        <v>0</v>
      </c>
      <c r="M24" s="17"/>
      <c r="N24" s="18"/>
      <c r="O24" s="18"/>
      <c r="P24" s="113"/>
    </row>
    <row r="25" spans="1:16" x14ac:dyDescent="0.35">
      <c r="A25" s="112">
        <v>20</v>
      </c>
      <c r="B25" s="10" t="s">
        <v>19</v>
      </c>
      <c r="C25" s="10"/>
      <c r="D25" s="19" t="b">
        <v>0</v>
      </c>
      <c r="E25" s="11">
        <v>6</v>
      </c>
      <c r="F25" s="12" t="str">
        <f>Reasoning!C48</f>
        <v>Figure Counting</v>
      </c>
      <c r="G25" s="12"/>
      <c r="H25" s="20" t="b">
        <v>0</v>
      </c>
      <c r="I25" s="14">
        <v>6</v>
      </c>
      <c r="J25" s="15" t="str">
        <f>GS!B43</f>
        <v>Development</v>
      </c>
      <c r="K25" s="15"/>
      <c r="L25" s="16" t="b">
        <v>0</v>
      </c>
      <c r="M25" s="17"/>
      <c r="N25" s="18"/>
      <c r="O25" s="18"/>
      <c r="P25" s="113"/>
    </row>
    <row r="26" spans="1:16" x14ac:dyDescent="0.35">
      <c r="A26" s="112">
        <v>21</v>
      </c>
      <c r="B26" s="10" t="s">
        <v>498</v>
      </c>
      <c r="C26" s="10"/>
      <c r="D26" s="19" t="b">
        <v>0</v>
      </c>
      <c r="E26" s="11">
        <v>7</v>
      </c>
      <c r="F26" s="12" t="str">
        <f>Reasoning!C49</f>
        <v>Cube &amp; Dice</v>
      </c>
      <c r="G26" s="12"/>
      <c r="H26" s="20" t="b">
        <v>0</v>
      </c>
      <c r="I26" s="128" t="s">
        <v>256</v>
      </c>
      <c r="J26" s="128"/>
      <c r="K26" s="128"/>
      <c r="L26" s="128"/>
      <c r="M26" s="17"/>
      <c r="N26" s="18"/>
      <c r="O26" s="18"/>
      <c r="P26" s="113"/>
    </row>
    <row r="27" spans="1:16" x14ac:dyDescent="0.35">
      <c r="A27" s="112">
        <v>22</v>
      </c>
      <c r="B27" s="10" t="s">
        <v>499</v>
      </c>
      <c r="C27" s="10"/>
      <c r="D27" s="19" t="b">
        <v>0</v>
      </c>
      <c r="E27" s="11">
        <v>8</v>
      </c>
      <c r="F27" s="12" t="str">
        <f>Reasoning!B50</f>
        <v>Calendar</v>
      </c>
      <c r="G27" s="12"/>
      <c r="H27" s="20" t="b">
        <v>0</v>
      </c>
      <c r="I27" s="14">
        <v>1</v>
      </c>
      <c r="J27" s="15" t="str">
        <f>GS!B44</f>
        <v>Mechanics</v>
      </c>
      <c r="K27" s="15"/>
      <c r="L27" s="16" t="b">
        <v>0</v>
      </c>
      <c r="M27" s="17"/>
      <c r="N27" s="18"/>
      <c r="O27" s="18"/>
      <c r="P27" s="113"/>
    </row>
    <row r="28" spans="1:16" x14ac:dyDescent="0.35">
      <c r="A28" s="112">
        <v>23</v>
      </c>
      <c r="B28" s="10" t="s">
        <v>20</v>
      </c>
      <c r="C28" s="10"/>
      <c r="D28" s="19" t="b">
        <v>0</v>
      </c>
      <c r="E28" s="11">
        <v>9</v>
      </c>
      <c r="F28" s="12" t="str">
        <f>Reasoning!B51</f>
        <v>Clock</v>
      </c>
      <c r="G28" s="12"/>
      <c r="H28" s="20" t="b">
        <v>0</v>
      </c>
      <c r="I28" s="14">
        <v>2</v>
      </c>
      <c r="J28" s="15" t="str">
        <f>GS!B46</f>
        <v>Thermodynamics</v>
      </c>
      <c r="K28" s="15"/>
      <c r="L28" s="16" t="b">
        <v>0</v>
      </c>
      <c r="M28" s="17"/>
      <c r="N28" s="18"/>
      <c r="O28" s="18"/>
      <c r="P28" s="113"/>
    </row>
    <row r="29" spans="1:16" x14ac:dyDescent="0.35">
      <c r="A29" s="112"/>
      <c r="B29" s="9"/>
      <c r="C29" s="10"/>
      <c r="D29" s="19" t="b">
        <v>0</v>
      </c>
      <c r="E29" s="11">
        <v>10</v>
      </c>
      <c r="F29" s="12" t="str">
        <f>Reasoning!B52</f>
        <v>Venn Diagram</v>
      </c>
      <c r="G29" s="12"/>
      <c r="H29" s="20" t="b">
        <v>0</v>
      </c>
      <c r="I29" s="14">
        <v>3</v>
      </c>
      <c r="J29" s="15" t="str">
        <f>GS!B47</f>
        <v>Optics</v>
      </c>
      <c r="K29" s="15"/>
      <c r="L29" s="16" t="b">
        <v>0</v>
      </c>
      <c r="M29" s="17"/>
      <c r="N29" s="18"/>
      <c r="O29" s="18"/>
      <c r="P29" s="113"/>
    </row>
    <row r="30" spans="1:16" x14ac:dyDescent="0.35">
      <c r="A30" s="112"/>
      <c r="B30" s="9"/>
      <c r="C30" s="10"/>
      <c r="D30" s="19" t="b">
        <v>0</v>
      </c>
      <c r="E30" s="11">
        <v>11</v>
      </c>
      <c r="F30" s="12" t="str">
        <f>Reasoning!B54</f>
        <v>Logical Sequence</v>
      </c>
      <c r="G30" s="12"/>
      <c r="H30" s="20" t="b">
        <v>0</v>
      </c>
      <c r="I30" s="14">
        <v>4</v>
      </c>
      <c r="J30" s="15" t="str">
        <f>GS!B48</f>
        <v>Acoustics</v>
      </c>
      <c r="K30" s="15"/>
      <c r="L30" s="16" t="b">
        <v>0</v>
      </c>
      <c r="M30" s="17"/>
      <c r="N30" s="18"/>
      <c r="O30" s="18"/>
      <c r="P30" s="113"/>
    </row>
    <row r="31" spans="1:16" x14ac:dyDescent="0.35">
      <c r="A31" s="112"/>
      <c r="B31" s="9"/>
      <c r="C31" s="10"/>
      <c r="D31" s="19" t="b">
        <v>0</v>
      </c>
      <c r="E31" s="11"/>
      <c r="F31" s="12"/>
      <c r="G31" s="12"/>
      <c r="H31" s="20" t="b">
        <v>0</v>
      </c>
      <c r="I31" s="15"/>
      <c r="J31" s="15" t="str">
        <f>GS!B49</f>
        <v>Electricity</v>
      </c>
      <c r="K31" s="15"/>
      <c r="L31" s="15"/>
      <c r="M31" s="17"/>
      <c r="N31" s="18"/>
      <c r="O31" s="18"/>
      <c r="P31" s="113"/>
    </row>
    <row r="32" spans="1:16" x14ac:dyDescent="0.35">
      <c r="A32" s="112"/>
      <c r="B32" s="9"/>
      <c r="C32" s="10"/>
      <c r="D32" s="19" t="b">
        <v>0</v>
      </c>
      <c r="E32" s="11"/>
      <c r="F32" s="21"/>
      <c r="G32" s="12"/>
      <c r="H32" s="20" t="b">
        <v>0</v>
      </c>
      <c r="I32" s="129" t="s">
        <v>46</v>
      </c>
      <c r="J32" s="129"/>
      <c r="K32" s="129"/>
      <c r="L32" s="129"/>
      <c r="M32" s="18"/>
      <c r="N32" s="18"/>
      <c r="O32" s="18"/>
      <c r="P32" s="113"/>
    </row>
    <row r="33" spans="1:16" x14ac:dyDescent="0.35">
      <c r="A33" s="114"/>
      <c r="B33" s="10"/>
      <c r="C33" s="10"/>
      <c r="D33" s="10"/>
      <c r="E33" s="12"/>
      <c r="F33" s="12"/>
      <c r="G33" s="12"/>
      <c r="H33" s="12"/>
      <c r="I33" s="14">
        <v>1</v>
      </c>
      <c r="J33" s="15" t="str">
        <f>GS!B50</f>
        <v>General Chemistry</v>
      </c>
      <c r="K33" s="15"/>
      <c r="L33" s="15"/>
      <c r="M33" s="18"/>
      <c r="N33" s="18"/>
      <c r="O33" s="18"/>
      <c r="P33" s="113"/>
    </row>
    <row r="34" spans="1:16" x14ac:dyDescent="0.35">
      <c r="A34" s="114"/>
      <c r="B34" s="10"/>
      <c r="C34" s="10"/>
      <c r="D34" s="10"/>
      <c r="E34" s="12"/>
      <c r="F34" s="12"/>
      <c r="G34" s="12"/>
      <c r="H34" s="12"/>
      <c r="I34" s="14">
        <v>2</v>
      </c>
      <c r="J34" s="15" t="str">
        <f>GS!B51</f>
        <v>Inorganic</v>
      </c>
      <c r="K34" s="15"/>
      <c r="L34" s="15"/>
      <c r="M34" s="18"/>
      <c r="N34" s="18"/>
      <c r="O34" s="18"/>
      <c r="P34" s="113"/>
    </row>
    <row r="35" spans="1:16" x14ac:dyDescent="0.35">
      <c r="A35" s="114"/>
      <c r="B35" s="10"/>
      <c r="C35" s="10"/>
      <c r="D35" s="10"/>
      <c r="E35" s="12"/>
      <c r="F35" s="12"/>
      <c r="G35" s="12"/>
      <c r="H35" s="12"/>
      <c r="I35" s="14">
        <v>3</v>
      </c>
      <c r="J35" s="15" t="str">
        <f>GS!B52</f>
        <v>Chemical Reactions</v>
      </c>
      <c r="K35" s="15"/>
      <c r="L35" s="15"/>
      <c r="M35" s="18"/>
      <c r="N35" s="18"/>
      <c r="O35" s="18"/>
      <c r="P35" s="113"/>
    </row>
    <row r="36" spans="1:16" x14ac:dyDescent="0.35">
      <c r="A36" s="114"/>
      <c r="B36" s="10"/>
      <c r="C36" s="10"/>
      <c r="D36" s="10"/>
      <c r="E36" s="12"/>
      <c r="F36" s="12"/>
      <c r="G36" s="12"/>
      <c r="H36" s="12"/>
      <c r="I36" s="14">
        <v>4</v>
      </c>
      <c r="J36" s="15" t="str">
        <f>GS!B53</f>
        <v>Acids &amp; Bases</v>
      </c>
      <c r="K36" s="15"/>
      <c r="L36" s="15"/>
      <c r="M36" s="18"/>
      <c r="N36" s="18"/>
      <c r="O36" s="18"/>
      <c r="P36" s="113"/>
    </row>
    <row r="37" spans="1:16" x14ac:dyDescent="0.35">
      <c r="A37" s="114"/>
      <c r="B37" s="10"/>
      <c r="C37" s="10"/>
      <c r="D37" s="10"/>
      <c r="E37" s="12"/>
      <c r="F37" s="12"/>
      <c r="G37" s="12"/>
      <c r="H37" s="12"/>
      <c r="I37" s="14">
        <v>5</v>
      </c>
      <c r="J37" s="15" t="str">
        <f>GS!B54</f>
        <v>Metals</v>
      </c>
      <c r="K37" s="15"/>
      <c r="L37" s="15"/>
      <c r="M37" s="18"/>
      <c r="N37" s="18"/>
      <c r="O37" s="18"/>
      <c r="P37" s="113"/>
    </row>
    <row r="38" spans="1:16" x14ac:dyDescent="0.35">
      <c r="A38" s="114"/>
      <c r="B38" s="10"/>
      <c r="C38" s="10"/>
      <c r="D38" s="10"/>
      <c r="E38" s="12"/>
      <c r="F38" s="12"/>
      <c r="G38" s="12"/>
      <c r="H38" s="12"/>
      <c r="I38" s="129" t="s">
        <v>47</v>
      </c>
      <c r="J38" s="129"/>
      <c r="K38" s="129"/>
      <c r="L38" s="129"/>
      <c r="M38" s="18"/>
      <c r="N38" s="18"/>
      <c r="O38" s="18"/>
      <c r="P38" s="113"/>
    </row>
    <row r="39" spans="1:16" x14ac:dyDescent="0.35">
      <c r="A39" s="114"/>
      <c r="B39" s="10"/>
      <c r="C39" s="10"/>
      <c r="D39" s="10"/>
      <c r="E39" s="12"/>
      <c r="F39" s="12"/>
      <c r="G39" s="12"/>
      <c r="H39" s="12"/>
      <c r="I39" s="14">
        <v>1</v>
      </c>
      <c r="J39" s="15" t="str">
        <f>GS!B55</f>
        <v>Cell Biology</v>
      </c>
      <c r="K39" s="15"/>
      <c r="L39" s="15"/>
      <c r="M39" s="18"/>
      <c r="N39" s="18"/>
      <c r="O39" s="18"/>
      <c r="P39" s="113"/>
    </row>
    <row r="40" spans="1:16" x14ac:dyDescent="0.35">
      <c r="A40" s="114"/>
      <c r="B40" s="10"/>
      <c r="C40" s="10"/>
      <c r="D40" s="10"/>
      <c r="E40" s="12"/>
      <c r="F40" s="12"/>
      <c r="G40" s="12"/>
      <c r="H40" s="12"/>
      <c r="I40" s="14">
        <v>2</v>
      </c>
      <c r="J40" s="15" t="str">
        <f>GS!B56</f>
        <v>Human Physiology</v>
      </c>
      <c r="K40" s="15"/>
      <c r="L40" s="15"/>
      <c r="M40" s="18"/>
      <c r="N40" s="18"/>
      <c r="O40" s="18"/>
      <c r="P40" s="113"/>
    </row>
    <row r="41" spans="1:16" x14ac:dyDescent="0.35">
      <c r="A41" s="114"/>
      <c r="B41" s="10"/>
      <c r="C41" s="10"/>
      <c r="D41" s="10"/>
      <c r="E41" s="12"/>
      <c r="F41" s="12"/>
      <c r="G41" s="12"/>
      <c r="H41" s="12"/>
      <c r="I41" s="14">
        <v>3</v>
      </c>
      <c r="J41" s="15" t="str">
        <f>GS!B58</f>
        <v>Botany</v>
      </c>
      <c r="K41" s="15"/>
      <c r="L41" s="15"/>
      <c r="M41" s="18"/>
      <c r="N41" s="18"/>
      <c r="O41" s="18"/>
      <c r="P41" s="113"/>
    </row>
    <row r="42" spans="1:16" x14ac:dyDescent="0.35">
      <c r="A42" s="114"/>
      <c r="B42" s="10"/>
      <c r="C42" s="10"/>
      <c r="D42" s="10"/>
      <c r="E42" s="12"/>
      <c r="F42" s="12"/>
      <c r="G42" s="12"/>
      <c r="H42" s="12"/>
      <c r="I42" s="14">
        <v>4</v>
      </c>
      <c r="J42" s="15" t="str">
        <f>GS!B59</f>
        <v>Nutrition</v>
      </c>
      <c r="K42" s="15"/>
      <c r="L42" s="15"/>
      <c r="M42" s="18"/>
      <c r="N42" s="18"/>
      <c r="O42" s="18"/>
      <c r="P42" s="113"/>
    </row>
    <row r="43" spans="1:16" x14ac:dyDescent="0.35">
      <c r="A43" s="114"/>
      <c r="B43" s="10"/>
      <c r="C43" s="10"/>
      <c r="D43" s="10"/>
      <c r="E43" s="12"/>
      <c r="F43" s="12"/>
      <c r="G43" s="12"/>
      <c r="H43" s="12"/>
      <c r="I43" s="129" t="str">
        <f>GS!A60</f>
        <v>Current Affairs</v>
      </c>
      <c r="J43" s="129"/>
      <c r="K43" s="129"/>
      <c r="L43" s="129"/>
      <c r="M43" s="18"/>
      <c r="N43" s="18"/>
      <c r="O43" s="18"/>
      <c r="P43" s="113"/>
    </row>
    <row r="44" spans="1:16" x14ac:dyDescent="0.35">
      <c r="A44" s="114"/>
      <c r="B44" s="10"/>
      <c r="C44" s="10"/>
      <c r="D44" s="10"/>
      <c r="E44" s="12"/>
      <c r="F44" s="12"/>
      <c r="G44" s="12"/>
      <c r="H44" s="12"/>
      <c r="I44" s="14">
        <v>1</v>
      </c>
      <c r="J44" s="15" t="str">
        <f>GS!C60</f>
        <v>Government Schemes</v>
      </c>
      <c r="K44" s="15"/>
      <c r="L44" s="15"/>
      <c r="M44" s="18"/>
      <c r="N44" s="18"/>
      <c r="O44" s="18"/>
      <c r="P44" s="113"/>
    </row>
    <row r="45" spans="1:16" x14ac:dyDescent="0.35">
      <c r="A45" s="114"/>
      <c r="B45" s="10"/>
      <c r="C45" s="10"/>
      <c r="D45" s="10"/>
      <c r="E45" s="12"/>
      <c r="F45" s="12"/>
      <c r="G45" s="12"/>
      <c r="H45" s="12"/>
      <c r="I45" s="14">
        <v>2</v>
      </c>
      <c r="J45" s="15" t="str">
        <f>GS!C61</f>
        <v>Important Days</v>
      </c>
      <c r="K45" s="15"/>
      <c r="L45" s="15"/>
      <c r="M45" s="18"/>
      <c r="N45" s="18"/>
      <c r="O45" s="18"/>
      <c r="P45" s="113"/>
    </row>
    <row r="46" spans="1:16" x14ac:dyDescent="0.35">
      <c r="A46" s="114"/>
      <c r="B46" s="10"/>
      <c r="C46" s="10"/>
      <c r="D46" s="10"/>
      <c r="E46" s="12"/>
      <c r="F46" s="12"/>
      <c r="G46" s="12"/>
      <c r="H46" s="12"/>
      <c r="I46" s="14">
        <v>3</v>
      </c>
      <c r="J46" s="15" t="str">
        <f>GS!C62</f>
        <v>Global Events</v>
      </c>
      <c r="K46" s="15"/>
      <c r="L46" s="15"/>
      <c r="M46" s="18"/>
      <c r="N46" s="18"/>
      <c r="O46" s="18"/>
      <c r="P46" s="113"/>
    </row>
    <row r="47" spans="1:16" x14ac:dyDescent="0.35">
      <c r="A47" s="114"/>
      <c r="B47" s="10"/>
      <c r="C47" s="10"/>
      <c r="D47" s="10"/>
      <c r="E47" s="12"/>
      <c r="F47" s="12"/>
      <c r="G47" s="12"/>
      <c r="H47" s="12"/>
      <c r="I47" s="14">
        <v>4</v>
      </c>
      <c r="J47" s="15" t="str">
        <f>GS!C63</f>
        <v>Sports Events</v>
      </c>
      <c r="K47" s="15"/>
      <c r="L47" s="15"/>
      <c r="M47" s="18"/>
      <c r="N47" s="18"/>
      <c r="O47" s="18"/>
      <c r="P47" s="113"/>
    </row>
    <row r="48" spans="1:16" x14ac:dyDescent="0.35">
      <c r="A48" s="114"/>
      <c r="B48" s="10"/>
      <c r="C48" s="10"/>
      <c r="D48" s="10"/>
      <c r="E48" s="12"/>
      <c r="F48" s="12"/>
      <c r="G48" s="12"/>
      <c r="H48" s="12"/>
      <c r="I48" s="14">
        <v>5</v>
      </c>
      <c r="J48" s="15" t="str">
        <f>GS!C64</f>
        <v>Awards &amp; Honors</v>
      </c>
      <c r="K48" s="15"/>
      <c r="L48" s="15"/>
      <c r="M48" s="18"/>
      <c r="N48" s="18"/>
      <c r="O48" s="18"/>
      <c r="P48" s="113"/>
    </row>
    <row r="49" spans="1:16" ht="15" thickBot="1" x14ac:dyDescent="0.4">
      <c r="A49" s="115"/>
      <c r="B49" s="116"/>
      <c r="C49" s="116"/>
      <c r="D49" s="116"/>
      <c r="E49" s="117"/>
      <c r="F49" s="117"/>
      <c r="G49" s="117"/>
      <c r="H49" s="117"/>
      <c r="I49" s="118">
        <v>6</v>
      </c>
      <c r="J49" s="119" t="str">
        <f>GS!C65</f>
        <v>Books &amp; Authors</v>
      </c>
      <c r="K49" s="119"/>
      <c r="L49" s="119"/>
      <c r="M49" s="120"/>
      <c r="N49" s="120"/>
      <c r="O49" s="120"/>
      <c r="P49" s="121"/>
    </row>
    <row r="50" spans="1:16" ht="15" thickBot="1" x14ac:dyDescent="0.4">
      <c r="A50" s="102"/>
      <c r="B50" s="103"/>
      <c r="C50" s="104"/>
      <c r="D50" s="105"/>
      <c r="E50" s="102"/>
      <c r="F50" s="103"/>
      <c r="G50" s="104"/>
      <c r="H50" s="105"/>
      <c r="I50" s="102"/>
      <c r="J50" s="103"/>
      <c r="K50" s="104"/>
      <c r="L50" s="105"/>
      <c r="M50" s="102"/>
      <c r="N50" s="103"/>
      <c r="O50" s="104"/>
    </row>
    <row r="1048575" spans="4:4" ht="15" thickBot="1" x14ac:dyDescent="0.4"/>
    <row r="1048576" spans="4:4" x14ac:dyDescent="0.35">
      <c r="D1048576" s="3" t="b">
        <v>0</v>
      </c>
    </row>
  </sheetData>
  <mergeCells count="16">
    <mergeCell ref="E19:H19"/>
    <mergeCell ref="M4:P4"/>
    <mergeCell ref="J5:K5"/>
    <mergeCell ref="B5:C5"/>
    <mergeCell ref="A1:P3"/>
    <mergeCell ref="A4:D4"/>
    <mergeCell ref="E4:H4"/>
    <mergeCell ref="I4:L4"/>
    <mergeCell ref="I26:L26"/>
    <mergeCell ref="I32:L32"/>
    <mergeCell ref="I38:L38"/>
    <mergeCell ref="I43:L43"/>
    <mergeCell ref="I6:L6"/>
    <mergeCell ref="I10:L10"/>
    <mergeCell ref="I14:L14"/>
    <mergeCell ref="I19:L19"/>
  </mergeCells>
  <conditionalFormatting sqref="G50 C50 K50 O50">
    <cfRule type="dataBar" priority="1">
      <dataBar>
        <cfvo type="min"/>
        <cfvo type="max"/>
        <color rgb="FF3C10DE"/>
      </dataBar>
      <extLst>
        <ext xmlns:x14="http://schemas.microsoft.com/office/spreadsheetml/2009/9/main" uri="{B025F937-C7B1-47D3-B67F-A62EFF666E3E}">
          <x14:id>{87D2F0AA-F5F0-4E3E-905E-F152B932DEA9}</x14:id>
        </ext>
      </extLst>
    </cfRule>
  </conditionalFormatting>
  <pageMargins left="0.7" right="0.7" top="0.75" bottom="0.75" header="0.3" footer="0.3"/>
  <pageSetup scale="47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D2F0AA-F5F0-4E3E-905E-F152B932DEA9}">
            <x14:dataBar minLength="0" maxLength="100" border="1">
              <x14:cfvo type="autoMin"/>
              <x14:cfvo type="autoMax"/>
              <x14:borderColor theme="6" tint="0.79998168889431442"/>
              <x14:negativeFillColor rgb="FFFF0000"/>
              <x14:axisColor rgb="FF000000"/>
            </x14:dataBar>
          </x14:cfRule>
          <xm:sqref>G50 C50 K50 O50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EF94D-B839-44BA-83F0-8E9E0BC4C4D3}">
  <dimension ref="A1:X124"/>
  <sheetViews>
    <sheetView showGridLines="0" topLeftCell="A10" zoomScale="55" zoomScaleNormal="55" workbookViewId="0">
      <selection activeCell="A59" sqref="A59:A74"/>
    </sheetView>
  </sheetViews>
  <sheetFormatPr defaultRowHeight="14.5" x14ac:dyDescent="0.35"/>
  <cols>
    <col min="15" max="15" width="4.7265625" bestFit="1" customWidth="1"/>
    <col min="16" max="16" width="16.81640625" customWidth="1"/>
  </cols>
  <sheetData>
    <row r="1" spans="1:24" ht="31" x14ac:dyDescent="0.35">
      <c r="A1" s="35" t="s">
        <v>264</v>
      </c>
      <c r="H1" s="35" t="s">
        <v>318</v>
      </c>
      <c r="O1" s="39" t="s">
        <v>370</v>
      </c>
      <c r="P1" s="39" t="s">
        <v>76</v>
      </c>
      <c r="R1" s="38" t="s">
        <v>382</v>
      </c>
      <c r="X1" s="35" t="s">
        <v>411</v>
      </c>
    </row>
    <row r="2" spans="1:24" x14ac:dyDescent="0.35">
      <c r="O2" s="40" t="s">
        <v>371</v>
      </c>
      <c r="P2" s="40" t="s">
        <v>99</v>
      </c>
    </row>
    <row r="3" spans="1:24" ht="23.5" x14ac:dyDescent="0.35">
      <c r="A3" s="36" t="s">
        <v>265</v>
      </c>
      <c r="H3" s="36" t="s">
        <v>319</v>
      </c>
      <c r="O3" s="40" t="s">
        <v>372</v>
      </c>
      <c r="P3" s="40" t="s">
        <v>104</v>
      </c>
      <c r="R3" s="35" t="s">
        <v>383</v>
      </c>
      <c r="X3" t="s">
        <v>412</v>
      </c>
    </row>
    <row r="4" spans="1:24" x14ac:dyDescent="0.35">
      <c r="A4" s="37"/>
      <c r="H4" s="37"/>
      <c r="O4" s="40" t="s">
        <v>373</v>
      </c>
      <c r="P4" s="40" t="s">
        <v>100</v>
      </c>
      <c r="X4" s="37"/>
    </row>
    <row r="5" spans="1:24" ht="17.5" x14ac:dyDescent="0.35">
      <c r="A5" s="37" t="s">
        <v>266</v>
      </c>
      <c r="H5" s="37" t="s">
        <v>320</v>
      </c>
      <c r="O5" s="40" t="s">
        <v>374</v>
      </c>
      <c r="P5" s="40" t="s">
        <v>375</v>
      </c>
      <c r="R5" s="36" t="s">
        <v>384</v>
      </c>
      <c r="X5" s="37" t="s">
        <v>295</v>
      </c>
    </row>
    <row r="6" spans="1:24" x14ac:dyDescent="0.35">
      <c r="A6" s="37" t="s">
        <v>167</v>
      </c>
      <c r="H6" s="37" t="s">
        <v>321</v>
      </c>
      <c r="O6" s="40" t="s">
        <v>376</v>
      </c>
      <c r="P6" s="40" t="s">
        <v>377</v>
      </c>
      <c r="R6" s="37"/>
      <c r="X6" s="37" t="s">
        <v>413</v>
      </c>
    </row>
    <row r="7" spans="1:24" x14ac:dyDescent="0.35">
      <c r="A7" s="37" t="s">
        <v>267</v>
      </c>
      <c r="H7" s="37" t="s">
        <v>322</v>
      </c>
      <c r="O7" s="40" t="s">
        <v>378</v>
      </c>
      <c r="P7" s="40" t="s">
        <v>379</v>
      </c>
      <c r="R7" s="37" t="s">
        <v>385</v>
      </c>
      <c r="X7" s="37" t="s">
        <v>414</v>
      </c>
    </row>
    <row r="8" spans="1:24" ht="29" x14ac:dyDescent="0.35">
      <c r="A8" s="37" t="s">
        <v>268</v>
      </c>
      <c r="H8" s="37" t="s">
        <v>323</v>
      </c>
      <c r="O8" s="40" t="s">
        <v>380</v>
      </c>
      <c r="P8" s="40" t="s">
        <v>381</v>
      </c>
      <c r="R8" s="37" t="s">
        <v>178</v>
      </c>
      <c r="X8" s="37" t="s">
        <v>415</v>
      </c>
    </row>
    <row r="9" spans="1:24" x14ac:dyDescent="0.35">
      <c r="A9" s="37" t="s">
        <v>169</v>
      </c>
      <c r="H9" s="37" t="s">
        <v>324</v>
      </c>
      <c r="R9" s="37" t="s">
        <v>386</v>
      </c>
    </row>
    <row r="10" spans="1:24" x14ac:dyDescent="0.35">
      <c r="A10" s="37" t="s">
        <v>170</v>
      </c>
      <c r="H10" s="37" t="s">
        <v>325</v>
      </c>
      <c r="R10" s="37" t="s">
        <v>387</v>
      </c>
    </row>
    <row r="11" spans="1:24" x14ac:dyDescent="0.35">
      <c r="A11" s="37" t="s">
        <v>269</v>
      </c>
      <c r="R11" s="37" t="s">
        <v>388</v>
      </c>
    </row>
    <row r="12" spans="1:24" ht="23.5" x14ac:dyDescent="0.35">
      <c r="X12" s="35" t="s">
        <v>416</v>
      </c>
    </row>
    <row r="13" spans="1:24" x14ac:dyDescent="0.35">
      <c r="R13" t="s">
        <v>389</v>
      </c>
    </row>
    <row r="14" spans="1:24" ht="17.5" x14ac:dyDescent="0.35">
      <c r="H14" s="36" t="s">
        <v>326</v>
      </c>
      <c r="X14" t="s">
        <v>417</v>
      </c>
    </row>
    <row r="15" spans="1:24" ht="17.5" x14ac:dyDescent="0.35">
      <c r="A15" s="36" t="s">
        <v>270</v>
      </c>
      <c r="H15" s="37"/>
    </row>
    <row r="16" spans="1:24" ht="17.5" x14ac:dyDescent="0.35">
      <c r="A16" s="37"/>
      <c r="H16" s="37" t="s">
        <v>327</v>
      </c>
      <c r="X16" s="36" t="s">
        <v>418</v>
      </c>
    </row>
    <row r="17" spans="1:24" ht="23.5" x14ac:dyDescent="0.35">
      <c r="A17" s="37" t="s">
        <v>173</v>
      </c>
      <c r="H17" s="37" t="s">
        <v>328</v>
      </c>
      <c r="R17" s="35" t="s">
        <v>339</v>
      </c>
      <c r="X17" s="37"/>
    </row>
    <row r="18" spans="1:24" x14ac:dyDescent="0.35">
      <c r="A18" s="37" t="s">
        <v>174</v>
      </c>
      <c r="H18" s="37" t="s">
        <v>329</v>
      </c>
      <c r="X18" s="37" t="s">
        <v>167</v>
      </c>
    </row>
    <row r="19" spans="1:24" ht="17.5" x14ac:dyDescent="0.35">
      <c r="A19" s="37" t="s">
        <v>271</v>
      </c>
      <c r="H19" s="37" t="s">
        <v>330</v>
      </c>
      <c r="R19" s="36" t="s">
        <v>390</v>
      </c>
      <c r="X19" s="37" t="s">
        <v>419</v>
      </c>
    </row>
    <row r="20" spans="1:24" x14ac:dyDescent="0.35">
      <c r="A20" s="37" t="s">
        <v>272</v>
      </c>
      <c r="H20" s="37" t="s">
        <v>331</v>
      </c>
      <c r="R20" s="37"/>
      <c r="X20" s="37" t="s">
        <v>169</v>
      </c>
    </row>
    <row r="21" spans="1:24" x14ac:dyDescent="0.35">
      <c r="A21" s="37" t="s">
        <v>175</v>
      </c>
      <c r="R21" s="37" t="s">
        <v>107</v>
      </c>
      <c r="X21" s="37" t="s">
        <v>420</v>
      </c>
    </row>
    <row r="22" spans="1:24" x14ac:dyDescent="0.35">
      <c r="R22" s="37" t="s">
        <v>184</v>
      </c>
    </row>
    <row r="23" spans="1:24" ht="17.5" x14ac:dyDescent="0.35">
      <c r="R23" s="37" t="s">
        <v>285</v>
      </c>
      <c r="X23" s="36" t="s">
        <v>421</v>
      </c>
    </row>
    <row r="24" spans="1:24" ht="17.5" x14ac:dyDescent="0.35">
      <c r="H24" s="36" t="s">
        <v>332</v>
      </c>
      <c r="R24" s="37" t="s">
        <v>391</v>
      </c>
      <c r="X24" s="37"/>
    </row>
    <row r="25" spans="1:24" ht="17.5" x14ac:dyDescent="0.35">
      <c r="A25" s="36" t="s">
        <v>273</v>
      </c>
      <c r="R25" s="37" t="s">
        <v>187</v>
      </c>
      <c r="X25" s="37" t="s">
        <v>422</v>
      </c>
    </row>
    <row r="26" spans="1:24" x14ac:dyDescent="0.35">
      <c r="A26" s="37"/>
      <c r="H26" t="s">
        <v>333</v>
      </c>
      <c r="X26" s="37" t="s">
        <v>423</v>
      </c>
    </row>
    <row r="27" spans="1:24" x14ac:dyDescent="0.35">
      <c r="A27" s="37" t="s">
        <v>274</v>
      </c>
      <c r="H27" s="37"/>
      <c r="R27" t="s">
        <v>392</v>
      </c>
      <c r="X27" s="37" t="s">
        <v>424</v>
      </c>
    </row>
    <row r="28" spans="1:24" x14ac:dyDescent="0.35">
      <c r="A28" s="37" t="s">
        <v>178</v>
      </c>
      <c r="H28" s="37" t="s">
        <v>334</v>
      </c>
    </row>
    <row r="29" spans="1:24" x14ac:dyDescent="0.35">
      <c r="A29" s="37" t="s">
        <v>275</v>
      </c>
      <c r="H29" s="37" t="s">
        <v>335</v>
      </c>
    </row>
    <row r="30" spans="1:24" x14ac:dyDescent="0.35">
      <c r="A30" s="37" t="s">
        <v>276</v>
      </c>
      <c r="H30" s="37" t="s">
        <v>336</v>
      </c>
    </row>
    <row r="31" spans="1:24" ht="23.5" x14ac:dyDescent="0.35">
      <c r="A31" s="37" t="s">
        <v>277</v>
      </c>
      <c r="H31" s="37" t="s">
        <v>337</v>
      </c>
      <c r="R31" s="35" t="s">
        <v>393</v>
      </c>
      <c r="X31" s="35" t="s">
        <v>425</v>
      </c>
    </row>
    <row r="32" spans="1:24" x14ac:dyDescent="0.35">
      <c r="A32" s="37" t="s">
        <v>278</v>
      </c>
      <c r="H32" s="37" t="s">
        <v>338</v>
      </c>
    </row>
    <row r="33" spans="1:24" ht="17.5" x14ac:dyDescent="0.35">
      <c r="R33" s="36" t="s">
        <v>394</v>
      </c>
      <c r="X33" t="s">
        <v>426</v>
      </c>
    </row>
    <row r="34" spans="1:24" x14ac:dyDescent="0.35">
      <c r="R34" s="37"/>
      <c r="X34" s="37"/>
    </row>
    <row r="35" spans="1:24" x14ac:dyDescent="0.35">
      <c r="R35" s="37" t="s">
        <v>395</v>
      </c>
      <c r="X35" s="37" t="s">
        <v>427</v>
      </c>
    </row>
    <row r="36" spans="1:24" ht="31" x14ac:dyDescent="0.35">
      <c r="A36" s="35" t="s">
        <v>279</v>
      </c>
      <c r="H36" s="38" t="s">
        <v>339</v>
      </c>
      <c r="R36" s="37" t="s">
        <v>396</v>
      </c>
      <c r="X36" s="37" t="s">
        <v>428</v>
      </c>
    </row>
    <row r="37" spans="1:24" x14ac:dyDescent="0.35">
      <c r="R37" s="37" t="s">
        <v>397</v>
      </c>
      <c r="X37" s="37" t="s">
        <v>184</v>
      </c>
    </row>
    <row r="38" spans="1:24" ht="17.5" x14ac:dyDescent="0.35">
      <c r="A38" s="36" t="s">
        <v>280</v>
      </c>
      <c r="H38" s="36" t="s">
        <v>340</v>
      </c>
      <c r="R38" s="37" t="s">
        <v>103</v>
      </c>
      <c r="X38" s="37" t="s">
        <v>429</v>
      </c>
    </row>
    <row r="39" spans="1:24" x14ac:dyDescent="0.35">
      <c r="A39" s="37"/>
      <c r="H39" s="37"/>
      <c r="R39" s="37" t="s">
        <v>398</v>
      </c>
    </row>
    <row r="40" spans="1:24" x14ac:dyDescent="0.35">
      <c r="A40" s="37" t="s">
        <v>281</v>
      </c>
      <c r="H40" s="37" t="s">
        <v>341</v>
      </c>
    </row>
    <row r="41" spans="1:24" x14ac:dyDescent="0.35">
      <c r="A41" s="37" t="s">
        <v>282</v>
      </c>
      <c r="H41" s="37" t="s">
        <v>283</v>
      </c>
      <c r="R41" t="s">
        <v>399</v>
      </c>
    </row>
    <row r="42" spans="1:24" ht="23.5" x14ac:dyDescent="0.35">
      <c r="A42" s="37" t="s">
        <v>283</v>
      </c>
      <c r="H42" s="37" t="s">
        <v>342</v>
      </c>
      <c r="X42" s="35" t="s">
        <v>430</v>
      </c>
    </row>
    <row r="43" spans="1:24" x14ac:dyDescent="0.35">
      <c r="A43" s="37" t="s">
        <v>284</v>
      </c>
      <c r="H43" s="37" t="s">
        <v>184</v>
      </c>
    </row>
    <row r="44" spans="1:24" x14ac:dyDescent="0.35">
      <c r="A44" s="37" t="s">
        <v>285</v>
      </c>
      <c r="H44" s="37" t="s">
        <v>286</v>
      </c>
      <c r="X44" t="s">
        <v>431</v>
      </c>
    </row>
    <row r="45" spans="1:24" ht="23.5" x14ac:dyDescent="0.35">
      <c r="A45" s="37" t="s">
        <v>286</v>
      </c>
      <c r="R45" s="35" t="s">
        <v>400</v>
      </c>
      <c r="X45" s="37"/>
    </row>
    <row r="46" spans="1:24" x14ac:dyDescent="0.35">
      <c r="X46" s="37" t="s">
        <v>409</v>
      </c>
    </row>
    <row r="47" spans="1:24" ht="17.5" x14ac:dyDescent="0.35">
      <c r="R47" s="36" t="s">
        <v>401</v>
      </c>
      <c r="X47" s="37" t="s">
        <v>432</v>
      </c>
    </row>
    <row r="48" spans="1:24" ht="17.5" x14ac:dyDescent="0.35">
      <c r="H48" s="36" t="s">
        <v>343</v>
      </c>
      <c r="R48" s="37"/>
      <c r="X48" s="37" t="s">
        <v>108</v>
      </c>
    </row>
    <row r="49" spans="1:24" ht="17.5" x14ac:dyDescent="0.35">
      <c r="A49" s="36" t="s">
        <v>287</v>
      </c>
      <c r="H49" s="37"/>
      <c r="R49" s="37" t="s">
        <v>225</v>
      </c>
      <c r="X49" s="37" t="s">
        <v>433</v>
      </c>
    </row>
    <row r="50" spans="1:24" x14ac:dyDescent="0.35">
      <c r="A50" s="37"/>
      <c r="H50" s="37" t="s">
        <v>344</v>
      </c>
      <c r="R50" s="37" t="s">
        <v>222</v>
      </c>
    </row>
    <row r="51" spans="1:24" x14ac:dyDescent="0.35">
      <c r="A51" s="37" t="s">
        <v>288</v>
      </c>
      <c r="H51" s="37" t="s">
        <v>345</v>
      </c>
      <c r="R51" s="37" t="s">
        <v>217</v>
      </c>
    </row>
    <row r="52" spans="1:24" x14ac:dyDescent="0.35">
      <c r="A52" s="37" t="s">
        <v>289</v>
      </c>
      <c r="H52" s="37" t="s">
        <v>346</v>
      </c>
    </row>
    <row r="53" spans="1:24" ht="23.5" x14ac:dyDescent="0.35">
      <c r="A53" s="37" t="s">
        <v>290</v>
      </c>
      <c r="H53" s="37" t="s">
        <v>347</v>
      </c>
      <c r="R53" s="36" t="s">
        <v>402</v>
      </c>
      <c r="X53" s="35" t="s">
        <v>434</v>
      </c>
    </row>
    <row r="54" spans="1:24" x14ac:dyDescent="0.35">
      <c r="A54" s="37" t="s">
        <v>187</v>
      </c>
      <c r="R54" s="37"/>
    </row>
    <row r="55" spans="1:24" x14ac:dyDescent="0.35">
      <c r="A55" s="37" t="s">
        <v>291</v>
      </c>
      <c r="R55" s="37" t="s">
        <v>368</v>
      </c>
      <c r="X55" t="s">
        <v>435</v>
      </c>
    </row>
    <row r="56" spans="1:24" x14ac:dyDescent="0.35">
      <c r="R56" s="37" t="s">
        <v>235</v>
      </c>
      <c r="X56" s="37"/>
    </row>
    <row r="57" spans="1:24" ht="17.5" x14ac:dyDescent="0.35">
      <c r="H57" s="36" t="s">
        <v>348</v>
      </c>
      <c r="X57" s="37" t="s">
        <v>436</v>
      </c>
    </row>
    <row r="58" spans="1:24" ht="17.5" x14ac:dyDescent="0.35">
      <c r="H58" s="37"/>
      <c r="R58" s="36" t="s">
        <v>403</v>
      </c>
      <c r="X58" s="37" t="s">
        <v>437</v>
      </c>
    </row>
    <row r="59" spans="1:24" ht="23.5" x14ac:dyDescent="0.35">
      <c r="A59" s="35" t="s">
        <v>292</v>
      </c>
      <c r="H59" s="37" t="s">
        <v>349</v>
      </c>
      <c r="R59" s="37"/>
      <c r="X59" s="37" t="s">
        <v>438</v>
      </c>
    </row>
    <row r="60" spans="1:24" x14ac:dyDescent="0.35">
      <c r="H60" s="37" t="s">
        <v>350</v>
      </c>
      <c r="R60" s="37" t="s">
        <v>404</v>
      </c>
    </row>
    <row r="61" spans="1:24" ht="17.5" x14ac:dyDescent="0.35">
      <c r="A61" s="36" t="s">
        <v>293</v>
      </c>
      <c r="H61" s="37" t="s">
        <v>351</v>
      </c>
      <c r="R61" s="37" t="s">
        <v>242</v>
      </c>
    </row>
    <row r="62" spans="1:24" x14ac:dyDescent="0.35">
      <c r="A62" s="37"/>
      <c r="H62" s="37" t="s">
        <v>352</v>
      </c>
      <c r="R62" s="37" t="s">
        <v>405</v>
      </c>
    </row>
    <row r="63" spans="1:24" x14ac:dyDescent="0.35">
      <c r="A63" s="37" t="s">
        <v>294</v>
      </c>
      <c r="H63" s="37" t="s">
        <v>353</v>
      </c>
    </row>
    <row r="64" spans="1:24" x14ac:dyDescent="0.35">
      <c r="A64" s="37" t="s">
        <v>295</v>
      </c>
      <c r="R64" t="s">
        <v>406</v>
      </c>
    </row>
    <row r="65" spans="1:18" x14ac:dyDescent="0.35">
      <c r="A65" s="37" t="s">
        <v>296</v>
      </c>
    </row>
    <row r="67" spans="1:18" ht="31" x14ac:dyDescent="0.35">
      <c r="A67" s="36" t="s">
        <v>297</v>
      </c>
      <c r="H67" s="38" t="s">
        <v>354</v>
      </c>
    </row>
    <row r="68" spans="1:18" ht="23.5" x14ac:dyDescent="0.35">
      <c r="A68" s="37"/>
      <c r="R68" s="35" t="s">
        <v>407</v>
      </c>
    </row>
    <row r="69" spans="1:18" ht="17.5" x14ac:dyDescent="0.35">
      <c r="A69" s="37" t="s">
        <v>191</v>
      </c>
      <c r="H69" s="36" t="s">
        <v>355</v>
      </c>
    </row>
    <row r="70" spans="1:18" ht="17.5" x14ac:dyDescent="0.35">
      <c r="A70" s="37" t="s">
        <v>102</v>
      </c>
      <c r="H70" s="37"/>
      <c r="R70" s="36" t="s">
        <v>408</v>
      </c>
    </row>
    <row r="71" spans="1:18" x14ac:dyDescent="0.35">
      <c r="A71" s="37" t="s">
        <v>193</v>
      </c>
      <c r="H71" s="37" t="s">
        <v>294</v>
      </c>
      <c r="R71" s="37"/>
    </row>
    <row r="72" spans="1:18" x14ac:dyDescent="0.35">
      <c r="A72" s="37" t="s">
        <v>103</v>
      </c>
      <c r="H72" s="37" t="s">
        <v>356</v>
      </c>
      <c r="R72" s="37" t="s">
        <v>108</v>
      </c>
    </row>
    <row r="73" spans="1:18" x14ac:dyDescent="0.35">
      <c r="A73" s="37" t="s">
        <v>298</v>
      </c>
      <c r="H73" s="37" t="s">
        <v>296</v>
      </c>
      <c r="R73" s="37" t="s">
        <v>409</v>
      </c>
    </row>
    <row r="74" spans="1:18" x14ac:dyDescent="0.35">
      <c r="A74" s="37" t="s">
        <v>197</v>
      </c>
      <c r="R74" s="37" t="s">
        <v>209</v>
      </c>
    </row>
    <row r="75" spans="1:18" x14ac:dyDescent="0.35">
      <c r="R75" s="37" t="s">
        <v>410</v>
      </c>
    </row>
    <row r="77" spans="1:18" ht="17.5" x14ac:dyDescent="0.35">
      <c r="H77" s="36" t="s">
        <v>357</v>
      </c>
    </row>
    <row r="78" spans="1:18" ht="23.5" x14ac:dyDescent="0.35">
      <c r="A78" s="35" t="s">
        <v>299</v>
      </c>
      <c r="H78" s="37"/>
    </row>
    <row r="79" spans="1:18" x14ac:dyDescent="0.35">
      <c r="H79" s="37" t="s">
        <v>358</v>
      </c>
    </row>
    <row r="80" spans="1:18" ht="17.5" x14ac:dyDescent="0.35">
      <c r="A80" s="36" t="s">
        <v>300</v>
      </c>
      <c r="H80" s="37" t="s">
        <v>102</v>
      </c>
    </row>
    <row r="81" spans="1:8" x14ac:dyDescent="0.35">
      <c r="A81" s="37"/>
      <c r="H81" s="37" t="s">
        <v>193</v>
      </c>
    </row>
    <row r="82" spans="1:8" x14ac:dyDescent="0.35">
      <c r="A82" s="37" t="s">
        <v>301</v>
      </c>
      <c r="H82" s="37" t="s">
        <v>103</v>
      </c>
    </row>
    <row r="83" spans="1:8" x14ac:dyDescent="0.35">
      <c r="A83" s="37" t="s">
        <v>302</v>
      </c>
      <c r="H83" s="37" t="s">
        <v>195</v>
      </c>
    </row>
    <row r="84" spans="1:8" x14ac:dyDescent="0.35">
      <c r="A84" s="37" t="s">
        <v>303</v>
      </c>
      <c r="H84" s="37" t="s">
        <v>196</v>
      </c>
    </row>
    <row r="85" spans="1:8" x14ac:dyDescent="0.35">
      <c r="A85" s="37" t="s">
        <v>304</v>
      </c>
      <c r="H85" s="37" t="s">
        <v>197</v>
      </c>
    </row>
    <row r="86" spans="1:8" x14ac:dyDescent="0.35">
      <c r="A86" s="37" t="s">
        <v>305</v>
      </c>
    </row>
    <row r="87" spans="1:8" x14ac:dyDescent="0.35">
      <c r="H87" t="s">
        <v>359</v>
      </c>
    </row>
    <row r="88" spans="1:8" x14ac:dyDescent="0.35">
      <c r="A88" t="s">
        <v>306</v>
      </c>
    </row>
    <row r="91" spans="1:8" ht="31" x14ac:dyDescent="0.35">
      <c r="H91" s="38" t="s">
        <v>360</v>
      </c>
    </row>
    <row r="92" spans="1:8" ht="23.5" x14ac:dyDescent="0.35">
      <c r="A92" s="35" t="s">
        <v>307</v>
      </c>
    </row>
    <row r="93" spans="1:8" ht="17.5" x14ac:dyDescent="0.35">
      <c r="H93" s="36" t="s">
        <v>361</v>
      </c>
    </row>
    <row r="94" spans="1:8" ht="17.5" x14ac:dyDescent="0.35">
      <c r="A94" s="36" t="s">
        <v>308</v>
      </c>
      <c r="H94" s="37"/>
    </row>
    <row r="95" spans="1:8" x14ac:dyDescent="0.35">
      <c r="A95" s="37"/>
      <c r="H95" s="37" t="s">
        <v>301</v>
      </c>
    </row>
    <row r="96" spans="1:8" x14ac:dyDescent="0.35">
      <c r="A96" s="37" t="s">
        <v>217</v>
      </c>
      <c r="H96" s="37" t="s">
        <v>303</v>
      </c>
    </row>
    <row r="97" spans="1:8" x14ac:dyDescent="0.35">
      <c r="A97" s="37" t="s">
        <v>309</v>
      </c>
      <c r="H97" s="37" t="s">
        <v>304</v>
      </c>
    </row>
    <row r="98" spans="1:8" x14ac:dyDescent="0.35">
      <c r="A98" s="37" t="s">
        <v>310</v>
      </c>
      <c r="H98" s="37" t="s">
        <v>362</v>
      </c>
    </row>
    <row r="99" spans="1:8" x14ac:dyDescent="0.35">
      <c r="A99" s="37" t="s">
        <v>222</v>
      </c>
    </row>
    <row r="100" spans="1:8" x14ac:dyDescent="0.35">
      <c r="A100" s="37" t="s">
        <v>225</v>
      </c>
      <c r="H100" t="s">
        <v>363</v>
      </c>
    </row>
    <row r="102" spans="1:8" ht="17.5" x14ac:dyDescent="0.35">
      <c r="A102" s="36" t="s">
        <v>311</v>
      </c>
    </row>
    <row r="103" spans="1:8" x14ac:dyDescent="0.35">
      <c r="A103" s="37"/>
    </row>
    <row r="104" spans="1:8" ht="31" x14ac:dyDescent="0.35">
      <c r="A104" s="37" t="s">
        <v>312</v>
      </c>
      <c r="H104" s="38" t="s">
        <v>364</v>
      </c>
    </row>
    <row r="105" spans="1:8" x14ac:dyDescent="0.35">
      <c r="A105" s="37" t="s">
        <v>313</v>
      </c>
    </row>
    <row r="106" spans="1:8" ht="17.5" x14ac:dyDescent="0.35">
      <c r="A106" s="37" t="s">
        <v>314</v>
      </c>
      <c r="H106" s="36" t="s">
        <v>365</v>
      </c>
    </row>
    <row r="107" spans="1:8" x14ac:dyDescent="0.35">
      <c r="A107" s="37" t="s">
        <v>236</v>
      </c>
      <c r="H107" s="37"/>
    </row>
    <row r="108" spans="1:8" x14ac:dyDescent="0.35">
      <c r="H108" s="37" t="s">
        <v>217</v>
      </c>
    </row>
    <row r="109" spans="1:8" ht="17.5" x14ac:dyDescent="0.35">
      <c r="A109" s="36" t="s">
        <v>315</v>
      </c>
      <c r="H109" s="37" t="s">
        <v>309</v>
      </c>
    </row>
    <row r="110" spans="1:8" x14ac:dyDescent="0.35">
      <c r="A110" s="37"/>
      <c r="H110" s="37" t="s">
        <v>366</v>
      </c>
    </row>
    <row r="111" spans="1:8" x14ac:dyDescent="0.35">
      <c r="A111" s="37" t="s">
        <v>316</v>
      </c>
      <c r="H111" s="37" t="s">
        <v>222</v>
      </c>
    </row>
    <row r="112" spans="1:8" x14ac:dyDescent="0.35">
      <c r="A112" s="37" t="s">
        <v>242</v>
      </c>
      <c r="H112" s="37" t="s">
        <v>225</v>
      </c>
    </row>
    <row r="113" spans="1:8" x14ac:dyDescent="0.35">
      <c r="A113" s="37" t="s">
        <v>245</v>
      </c>
    </row>
    <row r="114" spans="1:8" ht="17.5" x14ac:dyDescent="0.35">
      <c r="A114" s="37" t="s">
        <v>317</v>
      </c>
      <c r="H114" s="36" t="s">
        <v>367</v>
      </c>
    </row>
    <row r="115" spans="1:8" x14ac:dyDescent="0.35">
      <c r="H115" s="37"/>
    </row>
    <row r="116" spans="1:8" x14ac:dyDescent="0.35">
      <c r="H116" s="37" t="s">
        <v>312</v>
      </c>
    </row>
    <row r="117" spans="1:8" x14ac:dyDescent="0.35">
      <c r="H117" s="37" t="s">
        <v>368</v>
      </c>
    </row>
    <row r="118" spans="1:8" x14ac:dyDescent="0.35">
      <c r="H118" s="37" t="s">
        <v>236</v>
      </c>
    </row>
    <row r="120" spans="1:8" ht="17.5" x14ac:dyDescent="0.35">
      <c r="H120" s="36" t="s">
        <v>369</v>
      </c>
    </row>
    <row r="121" spans="1:8" x14ac:dyDescent="0.35">
      <c r="H121" s="37"/>
    </row>
    <row r="122" spans="1:8" x14ac:dyDescent="0.35">
      <c r="H122" s="37" t="s">
        <v>316</v>
      </c>
    </row>
    <row r="123" spans="1:8" x14ac:dyDescent="0.35">
      <c r="H123" s="37" t="s">
        <v>242</v>
      </c>
    </row>
    <row r="124" spans="1:8" x14ac:dyDescent="0.35">
      <c r="H124" s="37" t="s">
        <v>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6252B-8BA7-45C6-9668-6819100206E2}">
  <dimension ref="A1:H14"/>
  <sheetViews>
    <sheetView showGridLines="0" zoomScaleNormal="100" workbookViewId="0">
      <selection activeCell="G18" sqref="G18"/>
    </sheetView>
  </sheetViews>
  <sheetFormatPr defaultRowHeight="25.5" customHeight="1" x14ac:dyDescent="0.35"/>
  <cols>
    <col min="1" max="1" width="14.90625" customWidth="1"/>
    <col min="2" max="2" width="16.26953125" customWidth="1"/>
    <col min="3" max="3" width="17.453125" customWidth="1"/>
    <col min="4" max="4" width="15.08984375" customWidth="1"/>
    <col min="5" max="5" width="26.6328125" bestFit="1" customWidth="1"/>
    <col min="6" max="6" width="20.81640625" customWidth="1"/>
    <col min="7" max="7" width="35.90625" bestFit="1" customWidth="1"/>
    <col min="8" max="8" width="17.1796875" customWidth="1"/>
  </cols>
  <sheetData>
    <row r="1" spans="1:8" ht="25.5" customHeight="1" thickBot="1" x14ac:dyDescent="0.4">
      <c r="A1" s="141" t="s">
        <v>448</v>
      </c>
      <c r="B1" s="142"/>
      <c r="C1" s="141" t="s">
        <v>451</v>
      </c>
      <c r="D1" s="142"/>
      <c r="E1" s="141" t="s">
        <v>87</v>
      </c>
      <c r="F1" s="142"/>
      <c r="G1" s="141" t="s">
        <v>69</v>
      </c>
      <c r="H1" s="142"/>
    </row>
    <row r="2" spans="1:8" ht="25.5" customHeight="1" x14ac:dyDescent="0.35">
      <c r="A2" s="45" t="s">
        <v>78</v>
      </c>
      <c r="B2" s="46" t="s">
        <v>439</v>
      </c>
      <c r="C2" s="45" t="s">
        <v>78</v>
      </c>
      <c r="D2" s="46" t="s">
        <v>439</v>
      </c>
      <c r="E2" s="45" t="s">
        <v>78</v>
      </c>
      <c r="F2" s="46" t="s">
        <v>439</v>
      </c>
      <c r="G2" s="45" t="s">
        <v>78</v>
      </c>
      <c r="H2" s="46" t="s">
        <v>439</v>
      </c>
    </row>
    <row r="3" spans="1:8" ht="25.5" customHeight="1" x14ac:dyDescent="0.35">
      <c r="A3" s="41" t="s">
        <v>109</v>
      </c>
      <c r="B3" s="42" t="s">
        <v>440</v>
      </c>
      <c r="C3" s="41" t="s">
        <v>7</v>
      </c>
      <c r="D3" s="42" t="s">
        <v>444</v>
      </c>
      <c r="E3" s="41" t="s">
        <v>23</v>
      </c>
      <c r="F3" s="42" t="s">
        <v>444</v>
      </c>
      <c r="G3" s="41" t="s">
        <v>456</v>
      </c>
      <c r="H3" s="42">
        <v>5</v>
      </c>
    </row>
    <row r="4" spans="1:8" ht="25.5" customHeight="1" x14ac:dyDescent="0.35">
      <c r="A4" s="41" t="s">
        <v>441</v>
      </c>
      <c r="B4" s="42" t="s">
        <v>442</v>
      </c>
      <c r="C4" s="41" t="s">
        <v>8</v>
      </c>
      <c r="D4" s="42" t="s">
        <v>444</v>
      </c>
      <c r="E4" s="41" t="s">
        <v>90</v>
      </c>
      <c r="F4" s="42" t="s">
        <v>446</v>
      </c>
      <c r="G4" s="41" t="s">
        <v>58</v>
      </c>
      <c r="H4" s="42" t="s">
        <v>444</v>
      </c>
    </row>
    <row r="5" spans="1:8" ht="25.5" customHeight="1" x14ac:dyDescent="0.35">
      <c r="A5" s="41" t="s">
        <v>100</v>
      </c>
      <c r="B5" s="42" t="s">
        <v>443</v>
      </c>
      <c r="C5" s="41" t="s">
        <v>9</v>
      </c>
      <c r="D5" s="42" t="s">
        <v>446</v>
      </c>
      <c r="E5" s="41" t="s">
        <v>452</v>
      </c>
      <c r="F5" s="42" t="s">
        <v>444</v>
      </c>
      <c r="G5" s="41" t="s">
        <v>457</v>
      </c>
      <c r="H5" s="42" t="s">
        <v>444</v>
      </c>
    </row>
    <row r="6" spans="1:8" ht="25.5" customHeight="1" x14ac:dyDescent="0.35">
      <c r="A6" s="41" t="s">
        <v>375</v>
      </c>
      <c r="B6" s="42" t="s">
        <v>444</v>
      </c>
      <c r="C6" s="41" t="s">
        <v>11</v>
      </c>
      <c r="D6" s="42" t="s">
        <v>446</v>
      </c>
      <c r="E6" s="41" t="s">
        <v>24</v>
      </c>
      <c r="F6" s="42" t="s">
        <v>444</v>
      </c>
      <c r="G6" s="41" t="s">
        <v>458</v>
      </c>
      <c r="H6" s="42" t="s">
        <v>444</v>
      </c>
    </row>
    <row r="7" spans="1:8" ht="25.5" customHeight="1" x14ac:dyDescent="0.35">
      <c r="A7" s="41" t="s">
        <v>99</v>
      </c>
      <c r="B7" s="42" t="s">
        <v>445</v>
      </c>
      <c r="C7" s="41" t="s">
        <v>449</v>
      </c>
      <c r="D7" s="42" t="s">
        <v>446</v>
      </c>
      <c r="E7" s="41" t="s">
        <v>25</v>
      </c>
      <c r="F7" s="42" t="s">
        <v>446</v>
      </c>
      <c r="G7" s="41" t="s">
        <v>459</v>
      </c>
      <c r="H7" s="42" t="s">
        <v>446</v>
      </c>
    </row>
    <row r="8" spans="1:8" ht="25.5" customHeight="1" x14ac:dyDescent="0.35">
      <c r="A8" s="41" t="s">
        <v>104</v>
      </c>
      <c r="B8" s="42" t="s">
        <v>446</v>
      </c>
      <c r="C8" s="41" t="s">
        <v>15</v>
      </c>
      <c r="D8" s="42" t="s">
        <v>446</v>
      </c>
      <c r="E8" s="41" t="s">
        <v>453</v>
      </c>
      <c r="F8" s="42" t="s">
        <v>446</v>
      </c>
      <c r="G8" s="41" t="s">
        <v>65</v>
      </c>
      <c r="H8" s="42" t="s">
        <v>444</v>
      </c>
    </row>
    <row r="9" spans="1:8" ht="25.5" customHeight="1" x14ac:dyDescent="0.35">
      <c r="A9" s="41" t="s">
        <v>447</v>
      </c>
      <c r="B9" s="42" t="s">
        <v>446</v>
      </c>
      <c r="C9" s="41" t="s">
        <v>16</v>
      </c>
      <c r="D9" s="42" t="s">
        <v>446</v>
      </c>
      <c r="E9" s="41" t="s">
        <v>454</v>
      </c>
      <c r="F9" s="42" t="s">
        <v>444</v>
      </c>
      <c r="G9" s="41" t="s">
        <v>460</v>
      </c>
      <c r="H9" s="42" t="s">
        <v>446</v>
      </c>
    </row>
    <row r="10" spans="1:8" ht="25.5" customHeight="1" x14ac:dyDescent="0.35">
      <c r="A10" s="41"/>
      <c r="B10" s="42"/>
      <c r="C10" s="41" t="s">
        <v>10</v>
      </c>
      <c r="D10" s="42">
        <v>1</v>
      </c>
      <c r="E10" s="41" t="s">
        <v>29</v>
      </c>
      <c r="F10" s="42" t="s">
        <v>446</v>
      </c>
      <c r="G10" s="41" t="s">
        <v>461</v>
      </c>
      <c r="H10" s="42" t="s">
        <v>446</v>
      </c>
    </row>
    <row r="11" spans="1:8" ht="25.5" customHeight="1" x14ac:dyDescent="0.35">
      <c r="A11" s="41"/>
      <c r="B11" s="42"/>
      <c r="C11" s="41" t="s">
        <v>86</v>
      </c>
      <c r="D11" s="42" t="s">
        <v>444</v>
      </c>
      <c r="E11" s="41" t="s">
        <v>28</v>
      </c>
      <c r="F11" s="42" t="s">
        <v>446</v>
      </c>
      <c r="G11" s="41" t="s">
        <v>61</v>
      </c>
      <c r="H11" s="42" t="s">
        <v>442</v>
      </c>
    </row>
    <row r="12" spans="1:8" ht="25.5" customHeight="1" thickBot="1" x14ac:dyDescent="0.4">
      <c r="A12" s="43"/>
      <c r="B12" s="44"/>
      <c r="C12" s="43" t="s">
        <v>450</v>
      </c>
      <c r="D12" s="44" t="s">
        <v>446</v>
      </c>
      <c r="E12" s="43" t="s">
        <v>455</v>
      </c>
      <c r="F12" s="44">
        <v>1</v>
      </c>
      <c r="G12" s="47"/>
      <c r="H12" s="48"/>
    </row>
    <row r="13" spans="1:8" ht="25.5" customHeight="1" x14ac:dyDescent="0.35">
      <c r="A13" t="s">
        <v>462</v>
      </c>
      <c r="E13" t="s">
        <v>464</v>
      </c>
      <c r="G13" t="s">
        <v>465</v>
      </c>
    </row>
    <row r="14" spans="1:8" ht="25.5" customHeight="1" x14ac:dyDescent="0.35">
      <c r="C14" t="s">
        <v>463</v>
      </c>
    </row>
  </sheetData>
  <mergeCells count="4">
    <mergeCell ref="A1:B1"/>
    <mergeCell ref="C1:D1"/>
    <mergeCell ref="E1:F1"/>
    <mergeCell ref="G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519D5-7221-4EDB-A55E-AB5959E0F38A}">
  <sheetPr codeName="Sheet4"/>
  <dimension ref="A1:J44"/>
  <sheetViews>
    <sheetView showGridLines="0" zoomScaleNormal="100" zoomScaleSheetLayoutView="100" workbookViewId="0">
      <selection activeCell="E3" sqref="E3"/>
    </sheetView>
  </sheetViews>
  <sheetFormatPr defaultRowHeight="15" customHeight="1" x14ac:dyDescent="0.35"/>
  <cols>
    <col min="1" max="1" width="17.1796875" style="4" customWidth="1"/>
    <col min="2" max="2" width="33.453125" style="4" customWidth="1"/>
    <col min="3" max="3" width="23.1796875" style="5" customWidth="1"/>
    <col min="4" max="4" width="7.08984375" hidden="1" customWidth="1"/>
    <col min="7" max="7" width="10" bestFit="1" customWidth="1"/>
  </cols>
  <sheetData>
    <row r="1" spans="1:10" ht="15" customHeight="1" x14ac:dyDescent="0.35">
      <c r="A1" s="143" t="s">
        <v>0</v>
      </c>
      <c r="B1" s="143"/>
      <c r="C1" s="143"/>
      <c r="D1" s="143"/>
      <c r="E1" s="144"/>
      <c r="F1" s="145" t="s">
        <v>257</v>
      </c>
      <c r="G1" s="145"/>
      <c r="H1" s="145"/>
      <c r="I1" s="145"/>
    </row>
    <row r="2" spans="1:10" ht="15" customHeight="1" x14ac:dyDescent="0.35">
      <c r="A2" s="24" t="s">
        <v>76</v>
      </c>
      <c r="B2" s="24" t="s">
        <v>77</v>
      </c>
      <c r="C2" s="24" t="s">
        <v>78</v>
      </c>
      <c r="D2" s="24" t="s">
        <v>124</v>
      </c>
      <c r="E2" s="29" t="s">
        <v>124</v>
      </c>
      <c r="F2" s="30" t="s">
        <v>126</v>
      </c>
      <c r="G2" s="8" t="s">
        <v>258</v>
      </c>
      <c r="H2" s="8" t="s">
        <v>125</v>
      </c>
      <c r="I2" s="8" t="s">
        <v>75</v>
      </c>
    </row>
    <row r="3" spans="1:10" ht="15" customHeight="1" x14ac:dyDescent="0.35">
      <c r="A3" s="8" t="s">
        <v>79</v>
      </c>
      <c r="B3" s="8" t="s">
        <v>6</v>
      </c>
      <c r="C3" s="8" t="s">
        <v>518</v>
      </c>
      <c r="D3" s="8" t="b">
        <v>0</v>
      </c>
      <c r="E3" s="25"/>
      <c r="F3" s="30" t="s">
        <v>79</v>
      </c>
      <c r="G3" s="6">
        <f>COUNTA(C3:C44)</f>
        <v>42</v>
      </c>
      <c r="H3" s="6">
        <f>COUNTIF(D3:D44,TRUE)</f>
        <v>0</v>
      </c>
      <c r="I3" s="6">
        <f>COUNTIF(D3:D44,FALSE)</f>
        <v>33</v>
      </c>
      <c r="J3" s="34"/>
    </row>
    <row r="4" spans="1:10" ht="15" customHeight="1" x14ac:dyDescent="0.35">
      <c r="A4" s="8" t="s">
        <v>79</v>
      </c>
      <c r="B4" s="8" t="s">
        <v>6</v>
      </c>
      <c r="C4" s="8" t="s">
        <v>500</v>
      </c>
      <c r="D4" s="8" t="b">
        <v>0</v>
      </c>
      <c r="E4" s="8"/>
    </row>
    <row r="5" spans="1:10" ht="15" customHeight="1" x14ac:dyDescent="0.35">
      <c r="A5" s="8" t="s">
        <v>79</v>
      </c>
      <c r="B5" s="8" t="s">
        <v>6</v>
      </c>
      <c r="C5" s="8" t="s">
        <v>519</v>
      </c>
      <c r="D5" s="8" t="b">
        <v>0</v>
      </c>
      <c r="E5" s="8"/>
    </row>
    <row r="6" spans="1:10" ht="15" customHeight="1" x14ac:dyDescent="0.35">
      <c r="A6" s="8" t="s">
        <v>79</v>
      </c>
      <c r="B6" s="8" t="s">
        <v>6</v>
      </c>
      <c r="C6" s="8" t="s">
        <v>520</v>
      </c>
      <c r="D6" s="8" t="b">
        <v>0</v>
      </c>
      <c r="E6" s="8"/>
    </row>
    <row r="7" spans="1:10" ht="15" customHeight="1" x14ac:dyDescent="0.35">
      <c r="A7" s="8" t="s">
        <v>79</v>
      </c>
      <c r="B7" s="8" t="s">
        <v>6</v>
      </c>
      <c r="C7" s="8" t="s">
        <v>501</v>
      </c>
      <c r="D7" s="8" t="b">
        <v>0</v>
      </c>
      <c r="E7" s="8"/>
    </row>
    <row r="8" spans="1:10" ht="15" customHeight="1" x14ac:dyDescent="0.35">
      <c r="A8" s="8" t="s">
        <v>79</v>
      </c>
      <c r="B8" s="8" t="s">
        <v>7</v>
      </c>
      <c r="C8" s="8" t="s">
        <v>521</v>
      </c>
      <c r="D8" s="8" t="b">
        <v>0</v>
      </c>
      <c r="E8" s="8"/>
    </row>
    <row r="9" spans="1:10" ht="15" customHeight="1" x14ac:dyDescent="0.35">
      <c r="A9" s="8" t="s">
        <v>79</v>
      </c>
      <c r="B9" s="8" t="s">
        <v>7</v>
      </c>
      <c r="C9" s="8" t="s">
        <v>502</v>
      </c>
      <c r="D9" s="8" t="b">
        <v>0</v>
      </c>
      <c r="E9" s="8"/>
    </row>
    <row r="10" spans="1:10" ht="15" customHeight="1" x14ac:dyDescent="0.35">
      <c r="A10" s="8" t="s">
        <v>79</v>
      </c>
      <c r="B10" s="8" t="s">
        <v>7</v>
      </c>
      <c r="C10" s="8" t="s">
        <v>522</v>
      </c>
      <c r="D10" s="8" t="b">
        <v>0</v>
      </c>
      <c r="E10" s="8"/>
    </row>
    <row r="11" spans="1:10" ht="15" customHeight="1" x14ac:dyDescent="0.35">
      <c r="A11" s="8" t="s">
        <v>79</v>
      </c>
      <c r="B11" s="8" t="s">
        <v>7</v>
      </c>
      <c r="C11" s="8" t="s">
        <v>503</v>
      </c>
      <c r="D11" s="8" t="b">
        <v>0</v>
      </c>
      <c r="E11" s="8"/>
    </row>
    <row r="12" spans="1:10" ht="15" customHeight="1" x14ac:dyDescent="0.35">
      <c r="A12" s="8" t="s">
        <v>79</v>
      </c>
      <c r="B12" s="8" t="s">
        <v>17</v>
      </c>
      <c r="C12" s="8" t="s">
        <v>80</v>
      </c>
      <c r="D12" s="8" t="b">
        <v>0</v>
      </c>
      <c r="E12" s="8"/>
    </row>
    <row r="13" spans="1:10" ht="15" customHeight="1" x14ac:dyDescent="0.35">
      <c r="A13" s="8" t="s">
        <v>79</v>
      </c>
      <c r="B13" s="8" t="s">
        <v>17</v>
      </c>
      <c r="C13" s="8" t="s">
        <v>81</v>
      </c>
      <c r="D13" s="8" t="b">
        <v>0</v>
      </c>
      <c r="E13" s="8"/>
    </row>
    <row r="14" spans="1:10" ht="15" customHeight="1" x14ac:dyDescent="0.35">
      <c r="A14" s="8" t="s">
        <v>79</v>
      </c>
      <c r="B14" s="8" t="s">
        <v>17</v>
      </c>
      <c r="C14" s="8" t="s">
        <v>82</v>
      </c>
      <c r="D14" s="8" t="b">
        <v>0</v>
      </c>
      <c r="E14" s="8"/>
    </row>
    <row r="15" spans="1:10" ht="15" customHeight="1" x14ac:dyDescent="0.35">
      <c r="A15" s="8" t="s">
        <v>79</v>
      </c>
      <c r="B15" s="8" t="s">
        <v>17</v>
      </c>
      <c r="C15" s="8" t="s">
        <v>504</v>
      </c>
      <c r="D15" s="8" t="b">
        <v>0</v>
      </c>
      <c r="E15" s="8"/>
    </row>
    <row r="16" spans="1:10" ht="15" customHeight="1" x14ac:dyDescent="0.35">
      <c r="A16" s="8" t="s">
        <v>79</v>
      </c>
      <c r="B16" s="8" t="s">
        <v>505</v>
      </c>
      <c r="C16" s="8" t="s">
        <v>8</v>
      </c>
      <c r="D16" s="8" t="b">
        <v>0</v>
      </c>
      <c r="E16" s="8"/>
    </row>
    <row r="17" spans="1:6" ht="15" customHeight="1" x14ac:dyDescent="0.35">
      <c r="A17" s="8" t="s">
        <v>79</v>
      </c>
      <c r="B17" s="8" t="s">
        <v>505</v>
      </c>
      <c r="C17" s="8" t="s">
        <v>490</v>
      </c>
      <c r="D17" s="8" t="b">
        <v>0</v>
      </c>
      <c r="E17" s="8"/>
    </row>
    <row r="18" spans="1:6" ht="15" customHeight="1" x14ac:dyDescent="0.35">
      <c r="A18" s="8" t="s">
        <v>79</v>
      </c>
      <c r="B18" s="8" t="s">
        <v>505</v>
      </c>
      <c r="C18" s="8" t="s">
        <v>83</v>
      </c>
      <c r="D18" s="8" t="b">
        <v>0</v>
      </c>
      <c r="E18" s="8"/>
    </row>
    <row r="19" spans="1:6" ht="15" customHeight="1" x14ac:dyDescent="0.35">
      <c r="A19" s="8" t="s">
        <v>79</v>
      </c>
      <c r="B19" s="8" t="s">
        <v>505</v>
      </c>
      <c r="C19" s="8" t="s">
        <v>12</v>
      </c>
      <c r="D19" s="8" t="b">
        <v>0</v>
      </c>
      <c r="E19" s="8"/>
    </row>
    <row r="20" spans="1:6" ht="15" customHeight="1" x14ac:dyDescent="0.35">
      <c r="A20" s="8" t="s">
        <v>79</v>
      </c>
      <c r="B20" s="8" t="s">
        <v>505</v>
      </c>
      <c r="C20" s="8" t="s">
        <v>13</v>
      </c>
      <c r="D20" s="8" t="b">
        <v>0</v>
      </c>
      <c r="E20" s="8"/>
    </row>
    <row r="21" spans="1:6" ht="15" customHeight="1" x14ac:dyDescent="0.35">
      <c r="A21" s="8" t="s">
        <v>79</v>
      </c>
      <c r="B21" s="8" t="s">
        <v>505</v>
      </c>
      <c r="C21" s="8" t="s">
        <v>489</v>
      </c>
      <c r="D21" s="8" t="b">
        <v>0</v>
      </c>
      <c r="E21" s="8"/>
    </row>
    <row r="22" spans="1:6" ht="15" customHeight="1" x14ac:dyDescent="0.35">
      <c r="A22" s="8" t="s">
        <v>79</v>
      </c>
      <c r="B22" s="8" t="s">
        <v>505</v>
      </c>
      <c r="C22" s="8" t="s">
        <v>14</v>
      </c>
      <c r="D22" s="8" t="b">
        <v>0</v>
      </c>
      <c r="E22" s="8"/>
      <c r="F22" s="101" t="s">
        <v>646</v>
      </c>
    </row>
    <row r="23" spans="1:6" ht="15" customHeight="1" x14ac:dyDescent="0.35">
      <c r="A23" s="8" t="s">
        <v>79</v>
      </c>
      <c r="B23" s="8" t="s">
        <v>505</v>
      </c>
      <c r="C23" s="8" t="s">
        <v>10</v>
      </c>
      <c r="D23" s="8" t="b">
        <v>0</v>
      </c>
      <c r="E23" s="8"/>
    </row>
    <row r="24" spans="1:6" ht="15" customHeight="1" x14ac:dyDescent="0.35">
      <c r="A24" s="8" t="s">
        <v>79</v>
      </c>
      <c r="B24" s="8" t="s">
        <v>505</v>
      </c>
      <c r="C24" s="8" t="s">
        <v>491</v>
      </c>
      <c r="D24" s="8" t="b">
        <v>0</v>
      </c>
      <c r="E24" s="8"/>
    </row>
    <row r="25" spans="1:6" ht="15" customHeight="1" x14ac:dyDescent="0.35">
      <c r="A25" s="8" t="s">
        <v>79</v>
      </c>
      <c r="B25" s="8" t="s">
        <v>505</v>
      </c>
      <c r="C25" s="8" t="s">
        <v>492</v>
      </c>
      <c r="D25" s="8" t="b">
        <v>0</v>
      </c>
      <c r="E25" s="8"/>
    </row>
    <row r="26" spans="1:6" ht="15" customHeight="1" x14ac:dyDescent="0.35">
      <c r="A26" s="8" t="s">
        <v>79</v>
      </c>
      <c r="B26" s="8" t="s">
        <v>505</v>
      </c>
      <c r="C26" s="8" t="s">
        <v>493</v>
      </c>
      <c r="D26" s="8" t="b">
        <v>0</v>
      </c>
      <c r="E26" s="8"/>
    </row>
    <row r="27" spans="1:6" ht="15" customHeight="1" x14ac:dyDescent="0.35">
      <c r="A27" s="8" t="s">
        <v>79</v>
      </c>
      <c r="B27" s="8" t="s">
        <v>505</v>
      </c>
      <c r="C27" s="8" t="s">
        <v>494</v>
      </c>
      <c r="D27" s="8" t="b">
        <v>0</v>
      </c>
      <c r="E27" s="8"/>
    </row>
    <row r="28" spans="1:6" ht="15" customHeight="1" x14ac:dyDescent="0.35">
      <c r="A28" s="8" t="s">
        <v>79</v>
      </c>
      <c r="B28" s="8" t="s">
        <v>505</v>
      </c>
      <c r="C28" s="8" t="s">
        <v>495</v>
      </c>
      <c r="D28" s="8" t="b">
        <v>0</v>
      </c>
      <c r="E28" s="8"/>
    </row>
    <row r="29" spans="1:6" ht="15" customHeight="1" x14ac:dyDescent="0.35">
      <c r="A29" s="8" t="s">
        <v>79</v>
      </c>
      <c r="B29" s="8" t="s">
        <v>18</v>
      </c>
      <c r="C29" s="8" t="s">
        <v>506</v>
      </c>
      <c r="D29" s="8" t="b">
        <v>0</v>
      </c>
      <c r="E29" s="8"/>
    </row>
    <row r="30" spans="1:6" ht="15" customHeight="1" x14ac:dyDescent="0.35">
      <c r="A30" s="8" t="s">
        <v>79</v>
      </c>
      <c r="B30" s="8" t="s">
        <v>18</v>
      </c>
      <c r="C30" s="8" t="s">
        <v>84</v>
      </c>
      <c r="D30" s="8" t="b">
        <v>0</v>
      </c>
      <c r="E30" s="8"/>
    </row>
    <row r="31" spans="1:6" ht="15" customHeight="1" x14ac:dyDescent="0.35">
      <c r="A31" s="8" t="s">
        <v>79</v>
      </c>
      <c r="B31" s="8" t="s">
        <v>18</v>
      </c>
      <c r="C31" s="8" t="s">
        <v>507</v>
      </c>
      <c r="D31" s="8" t="b">
        <v>0</v>
      </c>
      <c r="E31" s="8"/>
    </row>
    <row r="32" spans="1:6" ht="15" customHeight="1" x14ac:dyDescent="0.35">
      <c r="A32" s="8" t="s">
        <v>79</v>
      </c>
      <c r="B32" s="8" t="s">
        <v>18</v>
      </c>
      <c r="C32" s="8" t="s">
        <v>508</v>
      </c>
      <c r="D32" s="8" t="b">
        <v>0</v>
      </c>
      <c r="E32" s="8"/>
    </row>
    <row r="33" spans="1:5" ht="15" customHeight="1" x14ac:dyDescent="0.35">
      <c r="A33" s="8" t="s">
        <v>79</v>
      </c>
      <c r="B33" s="8" t="s">
        <v>18</v>
      </c>
      <c r="C33" s="8" t="s">
        <v>85</v>
      </c>
      <c r="D33" s="8" t="b">
        <v>0</v>
      </c>
      <c r="E33" s="8"/>
    </row>
    <row r="34" spans="1:5" ht="15" customHeight="1" x14ac:dyDescent="0.35">
      <c r="A34" s="8" t="s">
        <v>79</v>
      </c>
      <c r="B34" s="8" t="s">
        <v>86</v>
      </c>
      <c r="C34" s="8" t="s">
        <v>509</v>
      </c>
      <c r="D34" s="8" t="b">
        <v>0</v>
      </c>
      <c r="E34" s="8"/>
    </row>
    <row r="35" spans="1:5" ht="15" customHeight="1" x14ac:dyDescent="0.35">
      <c r="A35" s="8" t="s">
        <v>79</v>
      </c>
      <c r="B35" s="8" t="s">
        <v>86</v>
      </c>
      <c r="C35" s="8" t="s">
        <v>510</v>
      </c>
      <c r="D35" s="8"/>
      <c r="E35" s="8"/>
    </row>
    <row r="36" spans="1:5" ht="15" customHeight="1" x14ac:dyDescent="0.35">
      <c r="A36" s="8" t="s">
        <v>79</v>
      </c>
      <c r="B36" s="8" t="s">
        <v>19</v>
      </c>
      <c r="C36" s="8" t="s">
        <v>511</v>
      </c>
      <c r="D36" s="8"/>
      <c r="E36" s="8"/>
    </row>
    <row r="37" spans="1:5" ht="15" customHeight="1" x14ac:dyDescent="0.35">
      <c r="A37" s="8" t="s">
        <v>79</v>
      </c>
      <c r="B37" s="8" t="s">
        <v>19</v>
      </c>
      <c r="C37" s="8" t="s">
        <v>512</v>
      </c>
      <c r="D37" s="8"/>
      <c r="E37" s="8"/>
    </row>
    <row r="38" spans="1:5" ht="15" customHeight="1" x14ac:dyDescent="0.35">
      <c r="A38" s="8" t="s">
        <v>79</v>
      </c>
      <c r="B38" s="8" t="s">
        <v>19</v>
      </c>
      <c r="C38" s="8" t="s">
        <v>498</v>
      </c>
      <c r="D38" s="8"/>
      <c r="E38" s="8"/>
    </row>
    <row r="39" spans="1:5" ht="15" customHeight="1" x14ac:dyDescent="0.35">
      <c r="A39" s="8" t="s">
        <v>79</v>
      </c>
      <c r="B39" s="8" t="s">
        <v>499</v>
      </c>
      <c r="C39" s="8" t="s">
        <v>513</v>
      </c>
      <c r="D39" s="8"/>
      <c r="E39" s="8"/>
    </row>
    <row r="40" spans="1:5" ht="15" customHeight="1" x14ac:dyDescent="0.35">
      <c r="A40" s="8" t="s">
        <v>79</v>
      </c>
      <c r="B40" s="8" t="s">
        <v>499</v>
      </c>
      <c r="C40" s="8" t="s">
        <v>523</v>
      </c>
      <c r="D40" s="8"/>
      <c r="E40" s="8"/>
    </row>
    <row r="41" spans="1:5" ht="15" customHeight="1" x14ac:dyDescent="0.35">
      <c r="A41" s="8" t="s">
        <v>79</v>
      </c>
      <c r="B41" s="8" t="s">
        <v>499</v>
      </c>
      <c r="C41" s="8" t="s">
        <v>514</v>
      </c>
      <c r="D41" s="8"/>
      <c r="E41" s="8"/>
    </row>
    <row r="42" spans="1:5" ht="15" customHeight="1" x14ac:dyDescent="0.35">
      <c r="A42" s="8" t="s">
        <v>79</v>
      </c>
      <c r="B42" s="8" t="s">
        <v>499</v>
      </c>
      <c r="C42" s="8" t="s">
        <v>515</v>
      </c>
      <c r="D42" s="8" t="b">
        <v>0</v>
      </c>
      <c r="E42" s="8"/>
    </row>
    <row r="43" spans="1:5" ht="15" customHeight="1" x14ac:dyDescent="0.35">
      <c r="A43" s="8" t="s">
        <v>79</v>
      </c>
      <c r="B43" s="8" t="s">
        <v>20</v>
      </c>
      <c r="C43" s="8" t="s">
        <v>516</v>
      </c>
      <c r="D43" s="8"/>
      <c r="E43" s="8"/>
    </row>
    <row r="44" spans="1:5" ht="15" customHeight="1" x14ac:dyDescent="0.35">
      <c r="A44" s="8" t="s">
        <v>79</v>
      </c>
      <c r="B44" s="8" t="s">
        <v>20</v>
      </c>
      <c r="C44" s="8" t="s">
        <v>517</v>
      </c>
      <c r="D44" s="8"/>
      <c r="E44" s="8"/>
    </row>
  </sheetData>
  <autoFilter ref="B2:E2" xr:uid="{D57519D5-7221-4EDB-A55E-AB5959E0F38A}"/>
  <mergeCells count="2">
    <mergeCell ref="A1:E1"/>
    <mergeCell ref="F1:I1"/>
  </mergeCells>
  <conditionalFormatting sqref="J3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{AA801416-8889-41CE-8A6A-5FA50DC4A862}</x14:id>
        </ext>
      </extLst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3</xdr:col>
                    <xdr:colOff>139700</xdr:colOff>
                    <xdr:row>2</xdr:row>
                    <xdr:rowOff>50800</xdr:rowOff>
                  </from>
                  <to>
                    <xdr:col>4</xdr:col>
                    <xdr:colOff>146050</xdr:colOff>
                    <xdr:row>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5" name="Check Box 32">
              <controlPr defaultSize="0" autoFill="0" autoLine="0" autoPict="0">
                <anchor moveWithCells="1">
                  <from>
                    <xdr:col>3</xdr:col>
                    <xdr:colOff>139700</xdr:colOff>
                    <xdr:row>3</xdr:row>
                    <xdr:rowOff>50800</xdr:rowOff>
                  </from>
                  <to>
                    <xdr:col>4</xdr:col>
                    <xdr:colOff>146050</xdr:colOff>
                    <xdr:row>3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6" name="Check Box 33">
              <controlPr defaultSize="0" autoFill="0" autoLine="0" autoPict="0">
                <anchor moveWithCells="1">
                  <from>
                    <xdr:col>3</xdr:col>
                    <xdr:colOff>139700</xdr:colOff>
                    <xdr:row>4</xdr:row>
                    <xdr:rowOff>50800</xdr:rowOff>
                  </from>
                  <to>
                    <xdr:col>4</xdr:col>
                    <xdr:colOff>146050</xdr:colOff>
                    <xdr:row>4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7" name="Check Box 34">
              <controlPr defaultSize="0" autoFill="0" autoLine="0" autoPict="0">
                <anchor moveWithCells="1">
                  <from>
                    <xdr:col>3</xdr:col>
                    <xdr:colOff>139700</xdr:colOff>
                    <xdr:row>5</xdr:row>
                    <xdr:rowOff>50800</xdr:rowOff>
                  </from>
                  <to>
                    <xdr:col>4</xdr:col>
                    <xdr:colOff>146050</xdr:colOff>
                    <xdr:row>5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8" name="Check Box 35">
              <controlPr defaultSize="0" autoFill="0" autoLine="0" autoPict="0">
                <anchor moveWithCells="1">
                  <from>
                    <xdr:col>3</xdr:col>
                    <xdr:colOff>139700</xdr:colOff>
                    <xdr:row>6</xdr:row>
                    <xdr:rowOff>50800</xdr:rowOff>
                  </from>
                  <to>
                    <xdr:col>4</xdr:col>
                    <xdr:colOff>146050</xdr:colOff>
                    <xdr:row>6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9" name="Check Box 36">
              <controlPr defaultSize="0" autoFill="0" autoLine="0" autoPict="0">
                <anchor moveWithCells="1">
                  <from>
                    <xdr:col>3</xdr:col>
                    <xdr:colOff>139700</xdr:colOff>
                    <xdr:row>7</xdr:row>
                    <xdr:rowOff>50800</xdr:rowOff>
                  </from>
                  <to>
                    <xdr:col>4</xdr:col>
                    <xdr:colOff>146050</xdr:colOff>
                    <xdr:row>7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10" name="Check Box 37">
              <controlPr defaultSize="0" autoFill="0" autoLine="0" autoPict="0">
                <anchor moveWithCells="1">
                  <from>
                    <xdr:col>3</xdr:col>
                    <xdr:colOff>139700</xdr:colOff>
                    <xdr:row>8</xdr:row>
                    <xdr:rowOff>50800</xdr:rowOff>
                  </from>
                  <to>
                    <xdr:col>4</xdr:col>
                    <xdr:colOff>146050</xdr:colOff>
                    <xdr:row>8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r:id="rId11" name="Check Box 38">
              <controlPr defaultSize="0" autoFill="0" autoLine="0" autoPict="0">
                <anchor moveWithCells="1">
                  <from>
                    <xdr:col>3</xdr:col>
                    <xdr:colOff>139700</xdr:colOff>
                    <xdr:row>9</xdr:row>
                    <xdr:rowOff>50800</xdr:rowOff>
                  </from>
                  <to>
                    <xdr:col>4</xdr:col>
                    <xdr:colOff>146050</xdr:colOff>
                    <xdr:row>9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12" name="Check Box 39">
              <controlPr defaultSize="0" autoFill="0" autoLine="0" autoPict="0">
                <anchor moveWithCells="1">
                  <from>
                    <xdr:col>3</xdr:col>
                    <xdr:colOff>139700</xdr:colOff>
                    <xdr:row>10</xdr:row>
                    <xdr:rowOff>50800</xdr:rowOff>
                  </from>
                  <to>
                    <xdr:col>4</xdr:col>
                    <xdr:colOff>146050</xdr:colOff>
                    <xdr:row>10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r:id="rId13" name="Check Box 40">
              <controlPr defaultSize="0" autoFill="0" autoLine="0" autoPict="0">
                <anchor moveWithCells="1">
                  <from>
                    <xdr:col>3</xdr:col>
                    <xdr:colOff>139700</xdr:colOff>
                    <xdr:row>11</xdr:row>
                    <xdr:rowOff>50800</xdr:rowOff>
                  </from>
                  <to>
                    <xdr:col>4</xdr:col>
                    <xdr:colOff>146050</xdr:colOff>
                    <xdr:row>11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r:id="rId14" name="Check Box 41">
              <controlPr defaultSize="0" autoFill="0" autoLine="0" autoPict="0">
                <anchor moveWithCells="1">
                  <from>
                    <xdr:col>3</xdr:col>
                    <xdr:colOff>139700</xdr:colOff>
                    <xdr:row>12</xdr:row>
                    <xdr:rowOff>50800</xdr:rowOff>
                  </from>
                  <to>
                    <xdr:col>4</xdr:col>
                    <xdr:colOff>146050</xdr:colOff>
                    <xdr:row>12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r:id="rId15" name="Check Box 42">
              <controlPr defaultSize="0" autoFill="0" autoLine="0" autoPict="0">
                <anchor moveWithCells="1">
                  <from>
                    <xdr:col>3</xdr:col>
                    <xdr:colOff>139700</xdr:colOff>
                    <xdr:row>13</xdr:row>
                    <xdr:rowOff>50800</xdr:rowOff>
                  </from>
                  <to>
                    <xdr:col>4</xdr:col>
                    <xdr:colOff>146050</xdr:colOff>
                    <xdr:row>13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r:id="rId16" name="Check Box 43">
              <controlPr defaultSize="0" autoFill="0" autoLine="0" autoPict="0">
                <anchor moveWithCells="1">
                  <from>
                    <xdr:col>3</xdr:col>
                    <xdr:colOff>139700</xdr:colOff>
                    <xdr:row>14</xdr:row>
                    <xdr:rowOff>50800</xdr:rowOff>
                  </from>
                  <to>
                    <xdr:col>4</xdr:col>
                    <xdr:colOff>146050</xdr:colOff>
                    <xdr:row>14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r:id="rId17" name="Check Box 44">
              <controlPr defaultSize="0" autoFill="0" autoLine="0" autoPict="0">
                <anchor moveWithCells="1">
                  <from>
                    <xdr:col>3</xdr:col>
                    <xdr:colOff>139700</xdr:colOff>
                    <xdr:row>15</xdr:row>
                    <xdr:rowOff>50800</xdr:rowOff>
                  </from>
                  <to>
                    <xdr:col>4</xdr:col>
                    <xdr:colOff>146050</xdr:colOff>
                    <xdr:row>15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r:id="rId18" name="Check Box 45">
              <controlPr defaultSize="0" autoFill="0" autoLine="0" autoPict="0">
                <anchor moveWithCells="1">
                  <from>
                    <xdr:col>3</xdr:col>
                    <xdr:colOff>139700</xdr:colOff>
                    <xdr:row>16</xdr:row>
                    <xdr:rowOff>50800</xdr:rowOff>
                  </from>
                  <to>
                    <xdr:col>4</xdr:col>
                    <xdr:colOff>146050</xdr:colOff>
                    <xdr:row>16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r:id="rId19" name="Check Box 46">
              <controlPr defaultSize="0" autoFill="0" autoLine="0" autoPict="0">
                <anchor moveWithCells="1">
                  <from>
                    <xdr:col>3</xdr:col>
                    <xdr:colOff>139700</xdr:colOff>
                    <xdr:row>17</xdr:row>
                    <xdr:rowOff>50800</xdr:rowOff>
                  </from>
                  <to>
                    <xdr:col>4</xdr:col>
                    <xdr:colOff>146050</xdr:colOff>
                    <xdr:row>17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r:id="rId20" name="Check Box 47">
              <controlPr defaultSize="0" autoFill="0" autoLine="0" autoPict="0">
                <anchor moveWithCells="1">
                  <from>
                    <xdr:col>3</xdr:col>
                    <xdr:colOff>139700</xdr:colOff>
                    <xdr:row>18</xdr:row>
                    <xdr:rowOff>50800</xdr:rowOff>
                  </from>
                  <to>
                    <xdr:col>4</xdr:col>
                    <xdr:colOff>146050</xdr:colOff>
                    <xdr:row>18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0" r:id="rId21" name="Check Box 48">
              <controlPr defaultSize="0" autoFill="0" autoLine="0" autoPict="0">
                <anchor moveWithCells="1">
                  <from>
                    <xdr:col>3</xdr:col>
                    <xdr:colOff>139700</xdr:colOff>
                    <xdr:row>19</xdr:row>
                    <xdr:rowOff>50800</xdr:rowOff>
                  </from>
                  <to>
                    <xdr:col>4</xdr:col>
                    <xdr:colOff>146050</xdr:colOff>
                    <xdr:row>19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1" r:id="rId22" name="Check Box 49">
              <controlPr defaultSize="0" autoFill="0" autoLine="0" autoPict="0">
                <anchor moveWithCells="1">
                  <from>
                    <xdr:col>3</xdr:col>
                    <xdr:colOff>139700</xdr:colOff>
                    <xdr:row>20</xdr:row>
                    <xdr:rowOff>50800</xdr:rowOff>
                  </from>
                  <to>
                    <xdr:col>4</xdr:col>
                    <xdr:colOff>146050</xdr:colOff>
                    <xdr:row>20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2" r:id="rId23" name="Check Box 50">
              <controlPr defaultSize="0" autoFill="0" autoLine="0" autoPict="0">
                <anchor moveWithCells="1">
                  <from>
                    <xdr:col>3</xdr:col>
                    <xdr:colOff>139700</xdr:colOff>
                    <xdr:row>21</xdr:row>
                    <xdr:rowOff>50800</xdr:rowOff>
                  </from>
                  <to>
                    <xdr:col>4</xdr:col>
                    <xdr:colOff>146050</xdr:colOff>
                    <xdr:row>21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r:id="rId24" name="Check Box 51">
              <controlPr defaultSize="0" autoFill="0" autoLine="0" autoPict="0">
                <anchor moveWithCells="1">
                  <from>
                    <xdr:col>3</xdr:col>
                    <xdr:colOff>139700</xdr:colOff>
                    <xdr:row>22</xdr:row>
                    <xdr:rowOff>50800</xdr:rowOff>
                  </from>
                  <to>
                    <xdr:col>4</xdr:col>
                    <xdr:colOff>146050</xdr:colOff>
                    <xdr:row>22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r:id="rId25" name="Check Box 52">
              <controlPr defaultSize="0" autoFill="0" autoLine="0" autoPict="0">
                <anchor moveWithCells="1">
                  <from>
                    <xdr:col>3</xdr:col>
                    <xdr:colOff>139700</xdr:colOff>
                    <xdr:row>23</xdr:row>
                    <xdr:rowOff>50800</xdr:rowOff>
                  </from>
                  <to>
                    <xdr:col>4</xdr:col>
                    <xdr:colOff>146050</xdr:colOff>
                    <xdr:row>23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26" name="Check Box 53">
              <controlPr defaultSize="0" autoFill="0" autoLine="0" autoPict="0">
                <anchor moveWithCells="1">
                  <from>
                    <xdr:col>3</xdr:col>
                    <xdr:colOff>139700</xdr:colOff>
                    <xdr:row>24</xdr:row>
                    <xdr:rowOff>50800</xdr:rowOff>
                  </from>
                  <to>
                    <xdr:col>4</xdr:col>
                    <xdr:colOff>146050</xdr:colOff>
                    <xdr:row>24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27" name="Check Box 54">
              <controlPr defaultSize="0" autoFill="0" autoLine="0" autoPict="0">
                <anchor moveWithCells="1">
                  <from>
                    <xdr:col>3</xdr:col>
                    <xdr:colOff>139700</xdr:colOff>
                    <xdr:row>25</xdr:row>
                    <xdr:rowOff>50800</xdr:rowOff>
                  </from>
                  <to>
                    <xdr:col>4</xdr:col>
                    <xdr:colOff>146050</xdr:colOff>
                    <xdr:row>25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28" name="Check Box 55">
              <controlPr defaultSize="0" autoFill="0" autoLine="0" autoPict="0">
                <anchor moveWithCells="1">
                  <from>
                    <xdr:col>3</xdr:col>
                    <xdr:colOff>139700</xdr:colOff>
                    <xdr:row>26</xdr:row>
                    <xdr:rowOff>50800</xdr:rowOff>
                  </from>
                  <to>
                    <xdr:col>4</xdr:col>
                    <xdr:colOff>146050</xdr:colOff>
                    <xdr:row>26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29" name="Check Box 56">
              <controlPr defaultSize="0" autoFill="0" autoLine="0" autoPict="0">
                <anchor moveWithCells="1">
                  <from>
                    <xdr:col>3</xdr:col>
                    <xdr:colOff>139700</xdr:colOff>
                    <xdr:row>27</xdr:row>
                    <xdr:rowOff>50800</xdr:rowOff>
                  </from>
                  <to>
                    <xdr:col>4</xdr:col>
                    <xdr:colOff>146050</xdr:colOff>
                    <xdr:row>27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30" name="Check Box 57">
              <controlPr defaultSize="0" autoFill="0" autoLine="0" autoPict="0">
                <anchor moveWithCells="1">
                  <from>
                    <xdr:col>3</xdr:col>
                    <xdr:colOff>139700</xdr:colOff>
                    <xdr:row>28</xdr:row>
                    <xdr:rowOff>50800</xdr:rowOff>
                  </from>
                  <to>
                    <xdr:col>4</xdr:col>
                    <xdr:colOff>146050</xdr:colOff>
                    <xdr:row>28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31" name="Check Box 58">
              <controlPr defaultSize="0" autoFill="0" autoLine="0" autoPict="0">
                <anchor moveWithCells="1">
                  <from>
                    <xdr:col>3</xdr:col>
                    <xdr:colOff>139700</xdr:colOff>
                    <xdr:row>29</xdr:row>
                    <xdr:rowOff>50800</xdr:rowOff>
                  </from>
                  <to>
                    <xdr:col>4</xdr:col>
                    <xdr:colOff>146050</xdr:colOff>
                    <xdr:row>29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32" name="Check Box 59">
              <controlPr defaultSize="0" autoFill="0" autoLine="0" autoPict="0">
                <anchor moveWithCells="1">
                  <from>
                    <xdr:col>3</xdr:col>
                    <xdr:colOff>139700</xdr:colOff>
                    <xdr:row>30</xdr:row>
                    <xdr:rowOff>50800</xdr:rowOff>
                  </from>
                  <to>
                    <xdr:col>4</xdr:col>
                    <xdr:colOff>146050</xdr:colOff>
                    <xdr:row>30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33" name="Check Box 60">
              <controlPr defaultSize="0" autoFill="0" autoLine="0" autoPict="0">
                <anchor moveWithCells="1">
                  <from>
                    <xdr:col>3</xdr:col>
                    <xdr:colOff>139700</xdr:colOff>
                    <xdr:row>31</xdr:row>
                    <xdr:rowOff>50800</xdr:rowOff>
                  </from>
                  <to>
                    <xdr:col>4</xdr:col>
                    <xdr:colOff>146050</xdr:colOff>
                    <xdr:row>31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r:id="rId34" name="Check Box 61">
              <controlPr defaultSize="0" autoFill="0" autoLine="0" autoPict="0">
                <anchor moveWithCells="1">
                  <from>
                    <xdr:col>3</xdr:col>
                    <xdr:colOff>139700</xdr:colOff>
                    <xdr:row>32</xdr:row>
                    <xdr:rowOff>50800</xdr:rowOff>
                  </from>
                  <to>
                    <xdr:col>4</xdr:col>
                    <xdr:colOff>146050</xdr:colOff>
                    <xdr:row>32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r:id="rId35" name="Check Box 62">
              <controlPr defaultSize="0" autoFill="0" autoLine="0" autoPict="0">
                <anchor moveWithCells="1">
                  <from>
                    <xdr:col>3</xdr:col>
                    <xdr:colOff>139700</xdr:colOff>
                    <xdr:row>33</xdr:row>
                    <xdr:rowOff>50800</xdr:rowOff>
                  </from>
                  <to>
                    <xdr:col>4</xdr:col>
                    <xdr:colOff>146050</xdr:colOff>
                    <xdr:row>33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36" name="Check Box 63">
              <controlPr defaultSize="0" autoFill="0" autoLine="0" autoPict="0">
                <anchor moveWithCells="1">
                  <from>
                    <xdr:col>3</xdr:col>
                    <xdr:colOff>139700</xdr:colOff>
                    <xdr:row>34</xdr:row>
                    <xdr:rowOff>50800</xdr:rowOff>
                  </from>
                  <to>
                    <xdr:col>4</xdr:col>
                    <xdr:colOff>146050</xdr:colOff>
                    <xdr:row>34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37" name="Check Box 64">
              <controlPr defaultSize="0" autoFill="0" autoLine="0" autoPict="0">
                <anchor moveWithCells="1">
                  <from>
                    <xdr:col>3</xdr:col>
                    <xdr:colOff>139700</xdr:colOff>
                    <xdr:row>35</xdr:row>
                    <xdr:rowOff>50800</xdr:rowOff>
                  </from>
                  <to>
                    <xdr:col>4</xdr:col>
                    <xdr:colOff>146050</xdr:colOff>
                    <xdr:row>35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7" r:id="rId38" name="Check Box 65">
              <controlPr defaultSize="0" autoFill="0" autoLine="0" autoPict="0">
                <anchor moveWithCells="1">
                  <from>
                    <xdr:col>3</xdr:col>
                    <xdr:colOff>139700</xdr:colOff>
                    <xdr:row>36</xdr:row>
                    <xdr:rowOff>50800</xdr:rowOff>
                  </from>
                  <to>
                    <xdr:col>4</xdr:col>
                    <xdr:colOff>146050</xdr:colOff>
                    <xdr:row>36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r:id="rId39" name="Check Box 66">
              <controlPr defaultSize="0" autoFill="0" autoLine="0" autoPict="0">
                <anchor moveWithCells="1">
                  <from>
                    <xdr:col>3</xdr:col>
                    <xdr:colOff>139700</xdr:colOff>
                    <xdr:row>37</xdr:row>
                    <xdr:rowOff>50800</xdr:rowOff>
                  </from>
                  <to>
                    <xdr:col>4</xdr:col>
                    <xdr:colOff>146050</xdr:colOff>
                    <xdr:row>37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9" r:id="rId40" name="Check Box 67">
              <controlPr defaultSize="0" autoFill="0" autoLine="0" autoPict="0">
                <anchor moveWithCells="1">
                  <from>
                    <xdr:col>3</xdr:col>
                    <xdr:colOff>139700</xdr:colOff>
                    <xdr:row>38</xdr:row>
                    <xdr:rowOff>50800</xdr:rowOff>
                  </from>
                  <to>
                    <xdr:col>4</xdr:col>
                    <xdr:colOff>146050</xdr:colOff>
                    <xdr:row>38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0" r:id="rId41" name="Check Box 68">
              <controlPr defaultSize="0" autoFill="0" autoLine="0" autoPict="0">
                <anchor moveWithCells="1">
                  <from>
                    <xdr:col>3</xdr:col>
                    <xdr:colOff>139700</xdr:colOff>
                    <xdr:row>39</xdr:row>
                    <xdr:rowOff>50800</xdr:rowOff>
                  </from>
                  <to>
                    <xdr:col>4</xdr:col>
                    <xdr:colOff>146050</xdr:colOff>
                    <xdr:row>39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1" r:id="rId42" name="Check Box 69">
              <controlPr defaultSize="0" autoFill="0" autoLine="0" autoPict="0">
                <anchor moveWithCells="1">
                  <from>
                    <xdr:col>3</xdr:col>
                    <xdr:colOff>139700</xdr:colOff>
                    <xdr:row>40</xdr:row>
                    <xdr:rowOff>50800</xdr:rowOff>
                  </from>
                  <to>
                    <xdr:col>4</xdr:col>
                    <xdr:colOff>146050</xdr:colOff>
                    <xdr:row>40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2" r:id="rId43" name="Check Box 70">
              <controlPr defaultSize="0" autoFill="0" autoLine="0" autoPict="0">
                <anchor moveWithCells="1">
                  <from>
                    <xdr:col>3</xdr:col>
                    <xdr:colOff>0</xdr:colOff>
                    <xdr:row>41</xdr:row>
                    <xdr:rowOff>50800</xdr:rowOff>
                  </from>
                  <to>
                    <xdr:col>4</xdr:col>
                    <xdr:colOff>146050</xdr:colOff>
                    <xdr:row>41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3" r:id="rId44" name="Check Box 71">
              <controlPr defaultSize="0" autoFill="0" autoLine="0" autoPict="0">
                <anchor moveWithCells="1">
                  <from>
                    <xdr:col>3</xdr:col>
                    <xdr:colOff>139700</xdr:colOff>
                    <xdr:row>42</xdr:row>
                    <xdr:rowOff>50800</xdr:rowOff>
                  </from>
                  <to>
                    <xdr:col>4</xdr:col>
                    <xdr:colOff>146050</xdr:colOff>
                    <xdr:row>42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4" r:id="rId45" name="Check Box 72">
              <controlPr defaultSize="0" autoFill="0" autoLine="0" autoPict="0">
                <anchor moveWithCells="1">
                  <from>
                    <xdr:col>3</xdr:col>
                    <xdr:colOff>139700</xdr:colOff>
                    <xdr:row>43</xdr:row>
                    <xdr:rowOff>50800</xdr:rowOff>
                  </from>
                  <to>
                    <xdr:col>4</xdr:col>
                    <xdr:colOff>146050</xdr:colOff>
                    <xdr:row>43</xdr:row>
                    <xdr:rowOff>139700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801416-8889-41CE-8A6A-5FA50DC4A8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CD959-C0DD-4341-9A99-5AAEFC1AC2EA}">
  <sheetPr codeName="Sheet5"/>
  <dimension ref="A1:I54"/>
  <sheetViews>
    <sheetView showGridLines="0" zoomScaleNormal="100" zoomScaleSheetLayoutView="100" workbookViewId="0">
      <selection activeCell="E13" sqref="E13"/>
    </sheetView>
  </sheetViews>
  <sheetFormatPr defaultRowHeight="16" customHeight="1" x14ac:dyDescent="0.35"/>
  <cols>
    <col min="1" max="1" width="12.54296875" style="5" customWidth="1"/>
    <col min="2" max="2" width="28.6328125" style="5" customWidth="1"/>
    <col min="3" max="3" width="35.26953125" style="5" customWidth="1"/>
    <col min="4" max="4" width="5.90625" hidden="1" customWidth="1"/>
    <col min="6" max="6" width="9.36328125" bestFit="1" customWidth="1"/>
    <col min="7" max="7" width="5.26953125" bestFit="1" customWidth="1"/>
    <col min="8" max="8" width="8.81640625" bestFit="1" customWidth="1"/>
  </cols>
  <sheetData>
    <row r="1" spans="1:9" ht="16" customHeight="1" x14ac:dyDescent="0.35">
      <c r="A1" s="146" t="s">
        <v>87</v>
      </c>
      <c r="B1" s="147"/>
      <c r="C1" s="147"/>
      <c r="D1" s="147"/>
      <c r="E1" s="147"/>
      <c r="F1" s="146" t="str">
        <f>Maths!F1</f>
        <v>SSC EXAM</v>
      </c>
      <c r="G1" s="147"/>
      <c r="H1" s="147"/>
      <c r="I1" s="147"/>
    </row>
    <row r="2" spans="1:9" ht="16" customHeight="1" x14ac:dyDescent="0.35">
      <c r="A2" s="11" t="s">
        <v>76</v>
      </c>
      <c r="B2" s="11" t="s">
        <v>77</v>
      </c>
      <c r="C2" s="11" t="s">
        <v>78</v>
      </c>
      <c r="D2" s="11" t="s">
        <v>74</v>
      </c>
      <c r="E2" s="25" t="s">
        <v>74</v>
      </c>
      <c r="F2" s="31" t="s">
        <v>126</v>
      </c>
      <c r="G2" s="31" t="s">
        <v>78</v>
      </c>
      <c r="H2" s="31" t="s">
        <v>261</v>
      </c>
      <c r="I2" s="31" t="s">
        <v>75</v>
      </c>
    </row>
    <row r="3" spans="1:9" ht="16" customHeight="1" x14ac:dyDescent="0.35">
      <c r="A3" s="11" t="s">
        <v>87</v>
      </c>
      <c r="B3" s="11" t="s">
        <v>23</v>
      </c>
      <c r="C3" s="11" t="s">
        <v>88</v>
      </c>
      <c r="D3" s="11" t="b">
        <v>0</v>
      </c>
      <c r="E3" s="25"/>
      <c r="F3" s="31" t="s">
        <v>87</v>
      </c>
      <c r="G3" s="1">
        <f>COUNTA(C3:C54)</f>
        <v>52</v>
      </c>
      <c r="H3" s="1">
        <f>COUNTIF(D3:D54,TRUE)</f>
        <v>0</v>
      </c>
      <c r="I3" s="1">
        <f>COUNTIF(D3:D54,FALSE)</f>
        <v>52</v>
      </c>
    </row>
    <row r="4" spans="1:9" ht="16" customHeight="1" x14ac:dyDescent="0.35">
      <c r="A4" s="11" t="s">
        <v>87</v>
      </c>
      <c r="B4" s="11" t="s">
        <v>23</v>
      </c>
      <c r="C4" s="11" t="s">
        <v>89</v>
      </c>
      <c r="D4" s="11" t="b">
        <v>0</v>
      </c>
      <c r="E4" s="11"/>
    </row>
    <row r="5" spans="1:9" ht="16" customHeight="1" x14ac:dyDescent="0.35">
      <c r="A5" s="11" t="s">
        <v>87</v>
      </c>
      <c r="B5" s="11" t="s">
        <v>23</v>
      </c>
      <c r="C5" s="11" t="s">
        <v>127</v>
      </c>
      <c r="D5" s="11" t="b">
        <v>0</v>
      </c>
      <c r="E5" s="11"/>
    </row>
    <row r="6" spans="1:9" ht="16" customHeight="1" x14ac:dyDescent="0.35">
      <c r="A6" s="11" t="s">
        <v>87</v>
      </c>
      <c r="B6" s="11" t="s">
        <v>23</v>
      </c>
      <c r="C6" s="11" t="s">
        <v>128</v>
      </c>
      <c r="D6" s="11" t="b">
        <v>0</v>
      </c>
      <c r="E6" s="11"/>
    </row>
    <row r="7" spans="1:9" ht="16" customHeight="1" x14ac:dyDescent="0.35">
      <c r="A7" s="11" t="s">
        <v>87</v>
      </c>
      <c r="B7" s="11" t="s">
        <v>90</v>
      </c>
      <c r="C7" s="11" t="s">
        <v>129</v>
      </c>
      <c r="D7" s="11" t="b">
        <v>0</v>
      </c>
      <c r="E7" s="11"/>
    </row>
    <row r="8" spans="1:9" ht="16" customHeight="1" x14ac:dyDescent="0.35">
      <c r="A8" s="11" t="s">
        <v>87</v>
      </c>
      <c r="B8" s="11" t="s">
        <v>90</v>
      </c>
      <c r="C8" s="11" t="s">
        <v>130</v>
      </c>
      <c r="D8" s="11" t="b">
        <v>0</v>
      </c>
      <c r="E8" s="11"/>
    </row>
    <row r="9" spans="1:9" ht="16" customHeight="1" x14ac:dyDescent="0.35">
      <c r="A9" s="11" t="s">
        <v>87</v>
      </c>
      <c r="B9" s="11" t="s">
        <v>90</v>
      </c>
      <c r="C9" s="11" t="s">
        <v>131</v>
      </c>
      <c r="D9" s="11" t="b">
        <v>0</v>
      </c>
      <c r="E9" s="11"/>
    </row>
    <row r="10" spans="1:9" ht="16" customHeight="1" x14ac:dyDescent="0.35">
      <c r="A10" s="11" t="s">
        <v>87</v>
      </c>
      <c r="B10" s="11" t="s">
        <v>90</v>
      </c>
      <c r="C10" s="11" t="s">
        <v>132</v>
      </c>
      <c r="D10" s="11" t="b">
        <v>0</v>
      </c>
      <c r="E10" s="11"/>
    </row>
    <row r="11" spans="1:9" ht="16" customHeight="1" x14ac:dyDescent="0.35">
      <c r="A11" s="11" t="s">
        <v>87</v>
      </c>
      <c r="B11" s="11" t="s">
        <v>91</v>
      </c>
      <c r="C11" s="11" t="s">
        <v>92</v>
      </c>
      <c r="D11" s="11" t="b">
        <v>0</v>
      </c>
      <c r="E11" s="11"/>
    </row>
    <row r="12" spans="1:9" ht="16" customHeight="1" x14ac:dyDescent="0.35">
      <c r="A12" s="11" t="s">
        <v>87</v>
      </c>
      <c r="B12" s="11" t="s">
        <v>91</v>
      </c>
      <c r="C12" s="11" t="s">
        <v>93</v>
      </c>
      <c r="D12" s="11" t="b">
        <v>0</v>
      </c>
      <c r="E12" s="11"/>
    </row>
    <row r="13" spans="1:9" ht="16" customHeight="1" x14ac:dyDescent="0.35">
      <c r="A13" s="11" t="s">
        <v>87</v>
      </c>
      <c r="B13" s="11" t="s">
        <v>91</v>
      </c>
      <c r="C13" s="11" t="s">
        <v>133</v>
      </c>
      <c r="D13" s="11" t="b">
        <v>0</v>
      </c>
      <c r="E13" s="11"/>
    </row>
    <row r="14" spans="1:9" ht="16" customHeight="1" x14ac:dyDescent="0.35">
      <c r="A14" s="11" t="s">
        <v>87</v>
      </c>
      <c r="B14" s="11" t="s">
        <v>91</v>
      </c>
      <c r="C14" s="11" t="s">
        <v>134</v>
      </c>
      <c r="D14" s="11" t="b">
        <v>0</v>
      </c>
      <c r="E14" s="11"/>
    </row>
    <row r="15" spans="1:9" ht="16" customHeight="1" x14ac:dyDescent="0.35">
      <c r="A15" s="11" t="s">
        <v>87</v>
      </c>
      <c r="B15" s="11" t="s">
        <v>24</v>
      </c>
      <c r="C15" s="11" t="s">
        <v>94</v>
      </c>
      <c r="D15" s="11" t="b">
        <v>0</v>
      </c>
      <c r="E15" s="11"/>
    </row>
    <row r="16" spans="1:9" ht="16" customHeight="1" x14ac:dyDescent="0.35">
      <c r="A16" s="11" t="s">
        <v>87</v>
      </c>
      <c r="B16" s="11" t="s">
        <v>24</v>
      </c>
      <c r="C16" s="11" t="s">
        <v>95</v>
      </c>
      <c r="D16" s="11" t="b">
        <v>0</v>
      </c>
      <c r="E16" s="11"/>
    </row>
    <row r="17" spans="1:5" ht="16" customHeight="1" x14ac:dyDescent="0.35">
      <c r="A17" s="11" t="s">
        <v>87</v>
      </c>
      <c r="B17" s="11" t="s">
        <v>24</v>
      </c>
      <c r="C17" s="11" t="s">
        <v>135</v>
      </c>
      <c r="D17" s="11" t="b">
        <v>0</v>
      </c>
      <c r="E17" s="11"/>
    </row>
    <row r="18" spans="1:5" ht="16" customHeight="1" x14ac:dyDescent="0.35">
      <c r="A18" s="11" t="s">
        <v>87</v>
      </c>
      <c r="B18" s="11" t="s">
        <v>24</v>
      </c>
      <c r="C18" s="11" t="s">
        <v>136</v>
      </c>
      <c r="D18" s="11" t="b">
        <v>0</v>
      </c>
      <c r="E18" s="11"/>
    </row>
    <row r="19" spans="1:5" ht="16" customHeight="1" x14ac:dyDescent="0.35">
      <c r="A19" s="11" t="s">
        <v>87</v>
      </c>
      <c r="B19" s="11" t="s">
        <v>25</v>
      </c>
      <c r="C19" s="11" t="s">
        <v>137</v>
      </c>
      <c r="D19" s="11" t="b">
        <v>0</v>
      </c>
      <c r="E19" s="11"/>
    </row>
    <row r="20" spans="1:5" ht="16" customHeight="1" x14ac:dyDescent="0.35">
      <c r="A20" s="11" t="s">
        <v>87</v>
      </c>
      <c r="B20" s="11" t="s">
        <v>25</v>
      </c>
      <c r="C20" s="11" t="s">
        <v>138</v>
      </c>
      <c r="D20" s="11" t="b">
        <v>0</v>
      </c>
      <c r="E20" s="11"/>
    </row>
    <row r="21" spans="1:5" ht="16" customHeight="1" x14ac:dyDescent="0.35">
      <c r="A21" s="11" t="s">
        <v>87</v>
      </c>
      <c r="B21" s="11" t="s">
        <v>25</v>
      </c>
      <c r="C21" s="11" t="s">
        <v>139</v>
      </c>
      <c r="D21" s="11" t="b">
        <v>0</v>
      </c>
      <c r="E21" s="11"/>
    </row>
    <row r="22" spans="1:5" ht="16" customHeight="1" x14ac:dyDescent="0.35">
      <c r="A22" s="11" t="s">
        <v>87</v>
      </c>
      <c r="B22" s="11" t="s">
        <v>26</v>
      </c>
      <c r="C22" s="11" t="s">
        <v>140</v>
      </c>
      <c r="D22" s="11" t="b">
        <v>0</v>
      </c>
      <c r="E22" s="11"/>
    </row>
    <row r="23" spans="1:5" ht="16" customHeight="1" x14ac:dyDescent="0.35">
      <c r="A23" s="11" t="s">
        <v>87</v>
      </c>
      <c r="B23" s="11" t="s">
        <v>26</v>
      </c>
      <c r="C23" s="11" t="s">
        <v>141</v>
      </c>
      <c r="D23" s="11" t="b">
        <v>0</v>
      </c>
      <c r="E23" s="11"/>
    </row>
    <row r="24" spans="1:5" ht="16" customHeight="1" x14ac:dyDescent="0.35">
      <c r="A24" s="11" t="s">
        <v>87</v>
      </c>
      <c r="B24" s="11" t="s">
        <v>26</v>
      </c>
      <c r="C24" s="11" t="s">
        <v>142</v>
      </c>
      <c r="D24" s="11" t="b">
        <v>0</v>
      </c>
      <c r="E24" s="11"/>
    </row>
    <row r="25" spans="1:5" ht="16" customHeight="1" x14ac:dyDescent="0.35">
      <c r="A25" s="11" t="s">
        <v>87</v>
      </c>
      <c r="B25" s="11" t="s">
        <v>29</v>
      </c>
      <c r="C25" s="11" t="s">
        <v>143</v>
      </c>
      <c r="D25" s="11" t="b">
        <v>0</v>
      </c>
      <c r="E25" s="11"/>
    </row>
    <row r="26" spans="1:5" ht="16" customHeight="1" x14ac:dyDescent="0.35">
      <c r="A26" s="11" t="s">
        <v>87</v>
      </c>
      <c r="B26" s="11" t="s">
        <v>29</v>
      </c>
      <c r="C26" s="11" t="s">
        <v>30</v>
      </c>
      <c r="D26" s="11" t="b">
        <v>0</v>
      </c>
      <c r="E26" s="11"/>
    </row>
    <row r="27" spans="1:5" ht="16" customHeight="1" x14ac:dyDescent="0.35">
      <c r="A27" s="11" t="s">
        <v>87</v>
      </c>
      <c r="B27" s="11" t="s">
        <v>29</v>
      </c>
      <c r="C27" s="11" t="s">
        <v>144</v>
      </c>
      <c r="D27" s="11" t="b">
        <v>0</v>
      </c>
      <c r="E27" s="11"/>
    </row>
    <row r="28" spans="1:5" ht="16" customHeight="1" x14ac:dyDescent="0.35">
      <c r="A28" s="11" t="s">
        <v>87</v>
      </c>
      <c r="B28" s="11" t="s">
        <v>145</v>
      </c>
      <c r="C28" s="11" t="s">
        <v>31</v>
      </c>
      <c r="D28" s="11" t="b">
        <v>0</v>
      </c>
      <c r="E28" s="11"/>
    </row>
    <row r="29" spans="1:5" ht="16" customHeight="1" x14ac:dyDescent="0.35">
      <c r="A29" s="11" t="s">
        <v>87</v>
      </c>
      <c r="B29" s="11" t="s">
        <v>145</v>
      </c>
      <c r="C29" s="11" t="s">
        <v>32</v>
      </c>
      <c r="D29" s="11" t="b">
        <v>0</v>
      </c>
      <c r="E29" s="11"/>
    </row>
    <row r="30" spans="1:5" ht="16" customHeight="1" x14ac:dyDescent="0.35">
      <c r="A30" s="11" t="s">
        <v>87</v>
      </c>
      <c r="B30" s="11" t="s">
        <v>145</v>
      </c>
      <c r="C30" s="11" t="s">
        <v>146</v>
      </c>
      <c r="D30" s="11" t="b">
        <v>0</v>
      </c>
      <c r="E30" s="11"/>
    </row>
    <row r="31" spans="1:5" ht="16" customHeight="1" x14ac:dyDescent="0.35">
      <c r="A31" s="11" t="s">
        <v>87</v>
      </c>
      <c r="B31" s="11" t="s">
        <v>96</v>
      </c>
      <c r="C31" s="11" t="s">
        <v>147</v>
      </c>
      <c r="D31" s="11" t="b">
        <v>0</v>
      </c>
      <c r="E31" s="11"/>
    </row>
    <row r="32" spans="1:5" ht="16" customHeight="1" x14ac:dyDescent="0.35">
      <c r="A32" s="11" t="s">
        <v>87</v>
      </c>
      <c r="B32" s="11" t="s">
        <v>96</v>
      </c>
      <c r="C32" s="11" t="s">
        <v>148</v>
      </c>
      <c r="D32" s="11" t="b">
        <v>0</v>
      </c>
      <c r="E32" s="11"/>
    </row>
    <row r="33" spans="1:5" ht="16" customHeight="1" x14ac:dyDescent="0.35">
      <c r="A33" s="11" t="s">
        <v>87</v>
      </c>
      <c r="B33" s="11" t="s">
        <v>96</v>
      </c>
      <c r="C33" s="11" t="s">
        <v>149</v>
      </c>
      <c r="D33" s="11" t="b">
        <v>0</v>
      </c>
      <c r="E33" s="11"/>
    </row>
    <row r="34" spans="1:5" ht="16" customHeight="1" x14ac:dyDescent="0.35">
      <c r="A34" s="11" t="s">
        <v>87</v>
      </c>
      <c r="B34" s="11" t="s">
        <v>34</v>
      </c>
      <c r="C34" s="11" t="s">
        <v>97</v>
      </c>
      <c r="D34" s="11" t="b">
        <v>0</v>
      </c>
      <c r="E34" s="11"/>
    </row>
    <row r="35" spans="1:5" ht="16" customHeight="1" x14ac:dyDescent="0.35">
      <c r="A35" s="11" t="s">
        <v>87</v>
      </c>
      <c r="B35" s="11" t="s">
        <v>34</v>
      </c>
      <c r="C35" s="11" t="s">
        <v>150</v>
      </c>
      <c r="D35" s="11" t="b">
        <v>0</v>
      </c>
      <c r="E35" s="11"/>
    </row>
    <row r="36" spans="1:5" ht="16" customHeight="1" x14ac:dyDescent="0.35">
      <c r="A36" s="11" t="s">
        <v>87</v>
      </c>
      <c r="B36" s="11" t="s">
        <v>34</v>
      </c>
      <c r="C36" s="11" t="s">
        <v>151</v>
      </c>
      <c r="D36" s="11" t="b">
        <v>0</v>
      </c>
      <c r="E36" s="11"/>
    </row>
    <row r="37" spans="1:5" ht="16" customHeight="1" x14ac:dyDescent="0.35">
      <c r="A37" s="11" t="s">
        <v>87</v>
      </c>
      <c r="B37" s="11" t="s">
        <v>27</v>
      </c>
      <c r="C37" s="11" t="s">
        <v>152</v>
      </c>
      <c r="D37" s="11" t="b">
        <v>0</v>
      </c>
      <c r="E37" s="11"/>
    </row>
    <row r="38" spans="1:5" ht="16" customHeight="1" x14ac:dyDescent="0.35">
      <c r="A38" s="11" t="s">
        <v>87</v>
      </c>
      <c r="B38" s="11" t="s">
        <v>27</v>
      </c>
      <c r="C38" s="11" t="s">
        <v>153</v>
      </c>
      <c r="D38" s="11" t="b">
        <v>0</v>
      </c>
      <c r="E38" s="11"/>
    </row>
    <row r="39" spans="1:5" ht="16" customHeight="1" x14ac:dyDescent="0.35">
      <c r="A39" s="11" t="s">
        <v>87</v>
      </c>
      <c r="B39" s="11" t="s">
        <v>33</v>
      </c>
      <c r="C39" s="11" t="s">
        <v>154</v>
      </c>
      <c r="D39" s="11" t="b">
        <v>0</v>
      </c>
      <c r="E39" s="11"/>
    </row>
    <row r="40" spans="1:5" ht="16" customHeight="1" x14ac:dyDescent="0.35">
      <c r="A40" s="11" t="s">
        <v>87</v>
      </c>
      <c r="B40" s="11" t="s">
        <v>33</v>
      </c>
      <c r="C40" s="11" t="s">
        <v>155</v>
      </c>
      <c r="D40" s="11" t="b">
        <v>0</v>
      </c>
      <c r="E40" s="11"/>
    </row>
    <row r="41" spans="1:5" ht="16" customHeight="1" x14ac:dyDescent="0.35">
      <c r="A41" s="11" t="s">
        <v>87</v>
      </c>
      <c r="B41" s="11" t="s">
        <v>40</v>
      </c>
      <c r="C41" s="11" t="s">
        <v>156</v>
      </c>
      <c r="D41" s="11" t="b">
        <v>0</v>
      </c>
      <c r="E41" s="11"/>
    </row>
    <row r="42" spans="1:5" ht="16" customHeight="1" x14ac:dyDescent="0.35">
      <c r="A42" s="11" t="s">
        <v>87</v>
      </c>
      <c r="B42" s="11" t="s">
        <v>40</v>
      </c>
      <c r="C42" s="11" t="s">
        <v>157</v>
      </c>
      <c r="D42" s="11" t="b">
        <v>0</v>
      </c>
      <c r="E42" s="11"/>
    </row>
    <row r="43" spans="1:5" ht="16" customHeight="1" x14ac:dyDescent="0.35">
      <c r="A43" s="11" t="s">
        <v>87</v>
      </c>
      <c r="B43" s="11" t="s">
        <v>98</v>
      </c>
      <c r="C43" s="11" t="s">
        <v>35</v>
      </c>
      <c r="D43" s="11" t="b">
        <v>0</v>
      </c>
      <c r="E43" s="11"/>
    </row>
    <row r="44" spans="1:5" ht="16" customHeight="1" x14ac:dyDescent="0.35">
      <c r="A44" s="11" t="s">
        <v>87</v>
      </c>
      <c r="B44" s="11" t="s">
        <v>98</v>
      </c>
      <c r="C44" s="11" t="s">
        <v>36</v>
      </c>
      <c r="D44" s="11" t="b">
        <v>0</v>
      </c>
      <c r="E44" s="11"/>
    </row>
    <row r="45" spans="1:5" ht="16" customHeight="1" x14ac:dyDescent="0.35">
      <c r="A45" s="11" t="s">
        <v>87</v>
      </c>
      <c r="B45" s="11" t="s">
        <v>98</v>
      </c>
      <c r="C45" s="11" t="s">
        <v>158</v>
      </c>
      <c r="D45" s="11" t="b">
        <v>0</v>
      </c>
      <c r="E45" s="11"/>
    </row>
    <row r="46" spans="1:5" ht="16" customHeight="1" x14ac:dyDescent="0.35">
      <c r="A46" s="11" t="s">
        <v>87</v>
      </c>
      <c r="B46" s="11" t="s">
        <v>98</v>
      </c>
      <c r="C46" s="11" t="s">
        <v>37</v>
      </c>
      <c r="D46" s="11" t="b">
        <v>0</v>
      </c>
      <c r="E46" s="11"/>
    </row>
    <row r="47" spans="1:5" ht="16" customHeight="1" x14ac:dyDescent="0.35">
      <c r="A47" s="11" t="s">
        <v>87</v>
      </c>
      <c r="B47" s="11" t="s">
        <v>98</v>
      </c>
      <c r="C47" s="11" t="s">
        <v>159</v>
      </c>
      <c r="D47" s="11" t="b">
        <v>0</v>
      </c>
      <c r="E47" s="11"/>
    </row>
    <row r="48" spans="1:5" ht="16" customHeight="1" x14ac:dyDescent="0.35">
      <c r="A48" s="11" t="s">
        <v>87</v>
      </c>
      <c r="B48" s="11" t="s">
        <v>98</v>
      </c>
      <c r="C48" s="11" t="s">
        <v>38</v>
      </c>
      <c r="D48" s="11" t="b">
        <v>0</v>
      </c>
      <c r="E48" s="11"/>
    </row>
    <row r="49" spans="1:5" ht="16" customHeight="1" x14ac:dyDescent="0.35">
      <c r="A49" s="11" t="s">
        <v>87</v>
      </c>
      <c r="B49" s="11" t="s">
        <v>98</v>
      </c>
      <c r="C49" s="11" t="s">
        <v>39</v>
      </c>
      <c r="D49" s="11" t="b">
        <v>0</v>
      </c>
      <c r="E49" s="11"/>
    </row>
    <row r="50" spans="1:5" ht="16" customHeight="1" x14ac:dyDescent="0.35">
      <c r="A50" s="11" t="s">
        <v>87</v>
      </c>
      <c r="B50" s="11" t="s">
        <v>41</v>
      </c>
      <c r="C50" s="11" t="s">
        <v>160</v>
      </c>
      <c r="D50" s="11" t="b">
        <v>0</v>
      </c>
      <c r="E50" s="11"/>
    </row>
    <row r="51" spans="1:5" ht="16" customHeight="1" x14ac:dyDescent="0.35">
      <c r="A51" s="11" t="s">
        <v>87</v>
      </c>
      <c r="B51" s="11" t="s">
        <v>42</v>
      </c>
      <c r="C51" s="11" t="s">
        <v>161</v>
      </c>
      <c r="D51" s="11" t="b">
        <v>0</v>
      </c>
      <c r="E51" s="11"/>
    </row>
    <row r="52" spans="1:5" ht="16" customHeight="1" x14ac:dyDescent="0.35">
      <c r="A52" s="11" t="s">
        <v>87</v>
      </c>
      <c r="B52" s="11" t="s">
        <v>28</v>
      </c>
      <c r="C52" s="11" t="s">
        <v>162</v>
      </c>
      <c r="D52" s="11" t="b">
        <v>0</v>
      </c>
      <c r="E52" s="11"/>
    </row>
    <row r="53" spans="1:5" ht="16" customHeight="1" x14ac:dyDescent="0.35">
      <c r="A53" s="11" t="s">
        <v>87</v>
      </c>
      <c r="B53" s="11" t="s">
        <v>28</v>
      </c>
      <c r="C53" s="11" t="s">
        <v>163</v>
      </c>
      <c r="D53" s="11" t="b">
        <v>0</v>
      </c>
      <c r="E53" s="11"/>
    </row>
    <row r="54" spans="1:5" ht="16" customHeight="1" x14ac:dyDescent="0.35">
      <c r="A54" s="11" t="s">
        <v>87</v>
      </c>
      <c r="B54" s="11" t="s">
        <v>164</v>
      </c>
      <c r="C54" s="11" t="s">
        <v>165</v>
      </c>
      <c r="D54" s="11" t="b">
        <v>0</v>
      </c>
      <c r="E54" s="11"/>
    </row>
  </sheetData>
  <mergeCells count="2">
    <mergeCell ref="A1:E1"/>
    <mergeCell ref="F1:I1"/>
  </mergeCells>
  <pageMargins left="0.7" right="0.7" top="0.75" bottom="0.75" header="0.3" footer="0.3"/>
  <pageSetup scale="7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>
                <anchor moveWithCells="1">
                  <from>
                    <xdr:col>3</xdr:col>
                    <xdr:colOff>139700</xdr:colOff>
                    <xdr:row>2</xdr:row>
                    <xdr:rowOff>50800</xdr:rowOff>
                  </from>
                  <to>
                    <xdr:col>4</xdr:col>
                    <xdr:colOff>146050</xdr:colOff>
                    <xdr:row>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9" r:id="rId5" name="Check Box 53">
              <controlPr defaultSize="0" autoFill="0" autoLine="0" autoPict="0">
                <anchor moveWithCells="1">
                  <from>
                    <xdr:col>3</xdr:col>
                    <xdr:colOff>139700</xdr:colOff>
                    <xdr:row>3</xdr:row>
                    <xdr:rowOff>50800</xdr:rowOff>
                  </from>
                  <to>
                    <xdr:col>4</xdr:col>
                    <xdr:colOff>146050</xdr:colOff>
                    <xdr:row>3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0" r:id="rId6" name="Check Box 54">
              <controlPr defaultSize="0" autoFill="0" autoLine="0" autoPict="0">
                <anchor moveWithCells="1">
                  <from>
                    <xdr:col>3</xdr:col>
                    <xdr:colOff>139700</xdr:colOff>
                    <xdr:row>4</xdr:row>
                    <xdr:rowOff>50800</xdr:rowOff>
                  </from>
                  <to>
                    <xdr:col>4</xdr:col>
                    <xdr:colOff>146050</xdr:colOff>
                    <xdr:row>4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1" r:id="rId7" name="Check Box 55">
              <controlPr defaultSize="0" autoFill="0" autoLine="0" autoPict="0">
                <anchor moveWithCells="1">
                  <from>
                    <xdr:col>3</xdr:col>
                    <xdr:colOff>139700</xdr:colOff>
                    <xdr:row>5</xdr:row>
                    <xdr:rowOff>50800</xdr:rowOff>
                  </from>
                  <to>
                    <xdr:col>4</xdr:col>
                    <xdr:colOff>146050</xdr:colOff>
                    <xdr:row>5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2" r:id="rId8" name="Check Box 56">
              <controlPr defaultSize="0" autoFill="0" autoLine="0" autoPict="0">
                <anchor moveWithCells="1">
                  <from>
                    <xdr:col>3</xdr:col>
                    <xdr:colOff>139700</xdr:colOff>
                    <xdr:row>6</xdr:row>
                    <xdr:rowOff>50800</xdr:rowOff>
                  </from>
                  <to>
                    <xdr:col>4</xdr:col>
                    <xdr:colOff>146050</xdr:colOff>
                    <xdr:row>6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3" r:id="rId9" name="Check Box 57">
              <controlPr defaultSize="0" autoFill="0" autoLine="0" autoPict="0">
                <anchor moveWithCells="1">
                  <from>
                    <xdr:col>3</xdr:col>
                    <xdr:colOff>139700</xdr:colOff>
                    <xdr:row>7</xdr:row>
                    <xdr:rowOff>50800</xdr:rowOff>
                  </from>
                  <to>
                    <xdr:col>4</xdr:col>
                    <xdr:colOff>146050</xdr:colOff>
                    <xdr:row>7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4" r:id="rId10" name="Check Box 58">
              <controlPr defaultSize="0" autoFill="0" autoLine="0" autoPict="0">
                <anchor moveWithCells="1">
                  <from>
                    <xdr:col>3</xdr:col>
                    <xdr:colOff>139700</xdr:colOff>
                    <xdr:row>8</xdr:row>
                    <xdr:rowOff>50800</xdr:rowOff>
                  </from>
                  <to>
                    <xdr:col>4</xdr:col>
                    <xdr:colOff>146050</xdr:colOff>
                    <xdr:row>8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5" r:id="rId11" name="Check Box 59">
              <controlPr defaultSize="0" autoFill="0" autoLine="0" autoPict="0">
                <anchor moveWithCells="1">
                  <from>
                    <xdr:col>3</xdr:col>
                    <xdr:colOff>139700</xdr:colOff>
                    <xdr:row>9</xdr:row>
                    <xdr:rowOff>50800</xdr:rowOff>
                  </from>
                  <to>
                    <xdr:col>4</xdr:col>
                    <xdr:colOff>146050</xdr:colOff>
                    <xdr:row>9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6" r:id="rId12" name="Check Box 60">
              <controlPr defaultSize="0" autoFill="0" autoLine="0" autoPict="0">
                <anchor moveWithCells="1">
                  <from>
                    <xdr:col>3</xdr:col>
                    <xdr:colOff>139700</xdr:colOff>
                    <xdr:row>10</xdr:row>
                    <xdr:rowOff>50800</xdr:rowOff>
                  </from>
                  <to>
                    <xdr:col>4</xdr:col>
                    <xdr:colOff>146050</xdr:colOff>
                    <xdr:row>10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7" r:id="rId13" name="Check Box 61">
              <controlPr defaultSize="0" autoFill="0" autoLine="0" autoPict="0">
                <anchor moveWithCells="1">
                  <from>
                    <xdr:col>3</xdr:col>
                    <xdr:colOff>139700</xdr:colOff>
                    <xdr:row>3</xdr:row>
                    <xdr:rowOff>50800</xdr:rowOff>
                  </from>
                  <to>
                    <xdr:col>4</xdr:col>
                    <xdr:colOff>146050</xdr:colOff>
                    <xdr:row>3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8" r:id="rId14" name="Check Box 62">
              <controlPr defaultSize="0" autoFill="0" autoLine="0" autoPict="0">
                <anchor moveWithCells="1">
                  <from>
                    <xdr:col>3</xdr:col>
                    <xdr:colOff>139700</xdr:colOff>
                    <xdr:row>4</xdr:row>
                    <xdr:rowOff>50800</xdr:rowOff>
                  </from>
                  <to>
                    <xdr:col>4</xdr:col>
                    <xdr:colOff>146050</xdr:colOff>
                    <xdr:row>4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9" r:id="rId15" name="Check Box 63">
              <controlPr defaultSize="0" autoFill="0" autoLine="0" autoPict="0">
                <anchor moveWithCells="1">
                  <from>
                    <xdr:col>3</xdr:col>
                    <xdr:colOff>139700</xdr:colOff>
                    <xdr:row>5</xdr:row>
                    <xdr:rowOff>50800</xdr:rowOff>
                  </from>
                  <to>
                    <xdr:col>4</xdr:col>
                    <xdr:colOff>146050</xdr:colOff>
                    <xdr:row>5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0" r:id="rId16" name="Check Box 64">
              <controlPr defaultSize="0" autoFill="0" autoLine="0" autoPict="0">
                <anchor moveWithCells="1">
                  <from>
                    <xdr:col>3</xdr:col>
                    <xdr:colOff>139700</xdr:colOff>
                    <xdr:row>6</xdr:row>
                    <xdr:rowOff>50800</xdr:rowOff>
                  </from>
                  <to>
                    <xdr:col>4</xdr:col>
                    <xdr:colOff>146050</xdr:colOff>
                    <xdr:row>6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1" r:id="rId17" name="Check Box 65">
              <controlPr defaultSize="0" autoFill="0" autoLine="0" autoPict="0">
                <anchor moveWithCells="1">
                  <from>
                    <xdr:col>3</xdr:col>
                    <xdr:colOff>139700</xdr:colOff>
                    <xdr:row>7</xdr:row>
                    <xdr:rowOff>50800</xdr:rowOff>
                  </from>
                  <to>
                    <xdr:col>4</xdr:col>
                    <xdr:colOff>146050</xdr:colOff>
                    <xdr:row>7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2" r:id="rId18" name="Check Box 66">
              <controlPr defaultSize="0" autoFill="0" autoLine="0" autoPict="0">
                <anchor moveWithCells="1">
                  <from>
                    <xdr:col>3</xdr:col>
                    <xdr:colOff>139700</xdr:colOff>
                    <xdr:row>8</xdr:row>
                    <xdr:rowOff>50800</xdr:rowOff>
                  </from>
                  <to>
                    <xdr:col>4</xdr:col>
                    <xdr:colOff>146050</xdr:colOff>
                    <xdr:row>8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3" r:id="rId19" name="Check Box 67">
              <controlPr defaultSize="0" autoFill="0" autoLine="0" autoPict="0">
                <anchor moveWithCells="1">
                  <from>
                    <xdr:col>3</xdr:col>
                    <xdr:colOff>139700</xdr:colOff>
                    <xdr:row>9</xdr:row>
                    <xdr:rowOff>50800</xdr:rowOff>
                  </from>
                  <to>
                    <xdr:col>4</xdr:col>
                    <xdr:colOff>146050</xdr:colOff>
                    <xdr:row>9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4" r:id="rId20" name="Check Box 68">
              <controlPr defaultSize="0" autoFill="0" autoLine="0" autoPict="0">
                <anchor moveWithCells="1">
                  <from>
                    <xdr:col>3</xdr:col>
                    <xdr:colOff>139700</xdr:colOff>
                    <xdr:row>10</xdr:row>
                    <xdr:rowOff>50800</xdr:rowOff>
                  </from>
                  <to>
                    <xdr:col>4</xdr:col>
                    <xdr:colOff>146050</xdr:colOff>
                    <xdr:row>10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5" r:id="rId21" name="Check Box 69">
              <controlPr defaultSize="0" autoFill="0" autoLine="0" autoPict="0">
                <anchor moveWithCells="1">
                  <from>
                    <xdr:col>3</xdr:col>
                    <xdr:colOff>139700</xdr:colOff>
                    <xdr:row>11</xdr:row>
                    <xdr:rowOff>50800</xdr:rowOff>
                  </from>
                  <to>
                    <xdr:col>4</xdr:col>
                    <xdr:colOff>146050</xdr:colOff>
                    <xdr:row>11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6" r:id="rId22" name="Check Box 70">
              <controlPr defaultSize="0" autoFill="0" autoLine="0" autoPict="0">
                <anchor moveWithCells="1">
                  <from>
                    <xdr:col>3</xdr:col>
                    <xdr:colOff>139700</xdr:colOff>
                    <xdr:row>12</xdr:row>
                    <xdr:rowOff>50800</xdr:rowOff>
                  </from>
                  <to>
                    <xdr:col>4</xdr:col>
                    <xdr:colOff>146050</xdr:colOff>
                    <xdr:row>12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7" r:id="rId23" name="Check Box 71">
              <controlPr defaultSize="0" autoFill="0" autoLine="0" autoPict="0">
                <anchor moveWithCells="1">
                  <from>
                    <xdr:col>3</xdr:col>
                    <xdr:colOff>139700</xdr:colOff>
                    <xdr:row>13</xdr:row>
                    <xdr:rowOff>50800</xdr:rowOff>
                  </from>
                  <to>
                    <xdr:col>4</xdr:col>
                    <xdr:colOff>146050</xdr:colOff>
                    <xdr:row>13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8" r:id="rId24" name="Check Box 72">
              <controlPr defaultSize="0" autoFill="0" autoLine="0" autoPict="0">
                <anchor moveWithCells="1">
                  <from>
                    <xdr:col>3</xdr:col>
                    <xdr:colOff>139700</xdr:colOff>
                    <xdr:row>14</xdr:row>
                    <xdr:rowOff>50800</xdr:rowOff>
                  </from>
                  <to>
                    <xdr:col>4</xdr:col>
                    <xdr:colOff>146050</xdr:colOff>
                    <xdr:row>14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9" r:id="rId25" name="Check Box 73">
              <controlPr defaultSize="0" autoFill="0" autoLine="0" autoPict="0">
                <anchor moveWithCells="1">
                  <from>
                    <xdr:col>3</xdr:col>
                    <xdr:colOff>139700</xdr:colOff>
                    <xdr:row>15</xdr:row>
                    <xdr:rowOff>50800</xdr:rowOff>
                  </from>
                  <to>
                    <xdr:col>4</xdr:col>
                    <xdr:colOff>146050</xdr:colOff>
                    <xdr:row>15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0" r:id="rId26" name="Check Box 74">
              <controlPr defaultSize="0" autoFill="0" autoLine="0" autoPict="0">
                <anchor moveWithCells="1">
                  <from>
                    <xdr:col>3</xdr:col>
                    <xdr:colOff>139700</xdr:colOff>
                    <xdr:row>16</xdr:row>
                    <xdr:rowOff>50800</xdr:rowOff>
                  </from>
                  <to>
                    <xdr:col>4</xdr:col>
                    <xdr:colOff>146050</xdr:colOff>
                    <xdr:row>16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1" r:id="rId27" name="Check Box 75">
              <controlPr defaultSize="0" autoFill="0" autoLine="0" autoPict="0">
                <anchor moveWithCells="1">
                  <from>
                    <xdr:col>3</xdr:col>
                    <xdr:colOff>139700</xdr:colOff>
                    <xdr:row>17</xdr:row>
                    <xdr:rowOff>50800</xdr:rowOff>
                  </from>
                  <to>
                    <xdr:col>4</xdr:col>
                    <xdr:colOff>146050</xdr:colOff>
                    <xdr:row>17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2" r:id="rId28" name="Check Box 76">
              <controlPr defaultSize="0" autoFill="0" autoLine="0" autoPict="0">
                <anchor moveWithCells="1">
                  <from>
                    <xdr:col>3</xdr:col>
                    <xdr:colOff>139700</xdr:colOff>
                    <xdr:row>18</xdr:row>
                    <xdr:rowOff>50800</xdr:rowOff>
                  </from>
                  <to>
                    <xdr:col>4</xdr:col>
                    <xdr:colOff>146050</xdr:colOff>
                    <xdr:row>18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3" r:id="rId29" name="Check Box 77">
              <controlPr defaultSize="0" autoFill="0" autoLine="0" autoPict="0">
                <anchor moveWithCells="1">
                  <from>
                    <xdr:col>3</xdr:col>
                    <xdr:colOff>139700</xdr:colOff>
                    <xdr:row>19</xdr:row>
                    <xdr:rowOff>50800</xdr:rowOff>
                  </from>
                  <to>
                    <xdr:col>4</xdr:col>
                    <xdr:colOff>146050</xdr:colOff>
                    <xdr:row>19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4" r:id="rId30" name="Check Box 78">
              <controlPr defaultSize="0" autoFill="0" autoLine="0" autoPict="0">
                <anchor moveWithCells="1">
                  <from>
                    <xdr:col>3</xdr:col>
                    <xdr:colOff>139700</xdr:colOff>
                    <xdr:row>20</xdr:row>
                    <xdr:rowOff>50800</xdr:rowOff>
                  </from>
                  <to>
                    <xdr:col>4</xdr:col>
                    <xdr:colOff>146050</xdr:colOff>
                    <xdr:row>20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5" r:id="rId31" name="Check Box 79">
              <controlPr defaultSize="0" autoFill="0" autoLine="0" autoPict="0">
                <anchor moveWithCells="1">
                  <from>
                    <xdr:col>3</xdr:col>
                    <xdr:colOff>139700</xdr:colOff>
                    <xdr:row>21</xdr:row>
                    <xdr:rowOff>50800</xdr:rowOff>
                  </from>
                  <to>
                    <xdr:col>4</xdr:col>
                    <xdr:colOff>146050</xdr:colOff>
                    <xdr:row>21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6" r:id="rId32" name="Check Box 80">
              <controlPr defaultSize="0" autoFill="0" autoLine="0" autoPict="0">
                <anchor moveWithCells="1">
                  <from>
                    <xdr:col>3</xdr:col>
                    <xdr:colOff>139700</xdr:colOff>
                    <xdr:row>22</xdr:row>
                    <xdr:rowOff>50800</xdr:rowOff>
                  </from>
                  <to>
                    <xdr:col>4</xdr:col>
                    <xdr:colOff>146050</xdr:colOff>
                    <xdr:row>22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7" r:id="rId33" name="Check Box 81">
              <controlPr defaultSize="0" autoFill="0" autoLine="0" autoPict="0">
                <anchor moveWithCells="1">
                  <from>
                    <xdr:col>3</xdr:col>
                    <xdr:colOff>139700</xdr:colOff>
                    <xdr:row>23</xdr:row>
                    <xdr:rowOff>50800</xdr:rowOff>
                  </from>
                  <to>
                    <xdr:col>4</xdr:col>
                    <xdr:colOff>146050</xdr:colOff>
                    <xdr:row>23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8" r:id="rId34" name="Check Box 82">
              <controlPr defaultSize="0" autoFill="0" autoLine="0" autoPict="0">
                <anchor moveWithCells="1">
                  <from>
                    <xdr:col>3</xdr:col>
                    <xdr:colOff>139700</xdr:colOff>
                    <xdr:row>24</xdr:row>
                    <xdr:rowOff>50800</xdr:rowOff>
                  </from>
                  <to>
                    <xdr:col>4</xdr:col>
                    <xdr:colOff>146050</xdr:colOff>
                    <xdr:row>24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9" r:id="rId35" name="Check Box 83">
              <controlPr defaultSize="0" autoFill="0" autoLine="0" autoPict="0">
                <anchor moveWithCells="1">
                  <from>
                    <xdr:col>3</xdr:col>
                    <xdr:colOff>139700</xdr:colOff>
                    <xdr:row>25</xdr:row>
                    <xdr:rowOff>50800</xdr:rowOff>
                  </from>
                  <to>
                    <xdr:col>4</xdr:col>
                    <xdr:colOff>146050</xdr:colOff>
                    <xdr:row>25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0" r:id="rId36" name="Check Box 84">
              <controlPr defaultSize="0" autoFill="0" autoLine="0" autoPict="0">
                <anchor moveWithCells="1">
                  <from>
                    <xdr:col>3</xdr:col>
                    <xdr:colOff>139700</xdr:colOff>
                    <xdr:row>26</xdr:row>
                    <xdr:rowOff>50800</xdr:rowOff>
                  </from>
                  <to>
                    <xdr:col>4</xdr:col>
                    <xdr:colOff>146050</xdr:colOff>
                    <xdr:row>26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1" r:id="rId37" name="Check Box 85">
              <controlPr defaultSize="0" autoFill="0" autoLine="0" autoPict="0">
                <anchor moveWithCells="1">
                  <from>
                    <xdr:col>3</xdr:col>
                    <xdr:colOff>139700</xdr:colOff>
                    <xdr:row>27</xdr:row>
                    <xdr:rowOff>50800</xdr:rowOff>
                  </from>
                  <to>
                    <xdr:col>4</xdr:col>
                    <xdr:colOff>146050</xdr:colOff>
                    <xdr:row>27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2" r:id="rId38" name="Check Box 86">
              <controlPr defaultSize="0" autoFill="0" autoLine="0" autoPict="0">
                <anchor moveWithCells="1">
                  <from>
                    <xdr:col>3</xdr:col>
                    <xdr:colOff>139700</xdr:colOff>
                    <xdr:row>28</xdr:row>
                    <xdr:rowOff>50800</xdr:rowOff>
                  </from>
                  <to>
                    <xdr:col>4</xdr:col>
                    <xdr:colOff>146050</xdr:colOff>
                    <xdr:row>28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3" r:id="rId39" name="Check Box 87">
              <controlPr defaultSize="0" autoFill="0" autoLine="0" autoPict="0">
                <anchor moveWithCells="1">
                  <from>
                    <xdr:col>3</xdr:col>
                    <xdr:colOff>139700</xdr:colOff>
                    <xdr:row>29</xdr:row>
                    <xdr:rowOff>50800</xdr:rowOff>
                  </from>
                  <to>
                    <xdr:col>4</xdr:col>
                    <xdr:colOff>146050</xdr:colOff>
                    <xdr:row>29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4" r:id="rId40" name="Check Box 88">
              <controlPr defaultSize="0" autoFill="0" autoLine="0" autoPict="0">
                <anchor moveWithCells="1">
                  <from>
                    <xdr:col>3</xdr:col>
                    <xdr:colOff>139700</xdr:colOff>
                    <xdr:row>30</xdr:row>
                    <xdr:rowOff>50800</xdr:rowOff>
                  </from>
                  <to>
                    <xdr:col>4</xdr:col>
                    <xdr:colOff>146050</xdr:colOff>
                    <xdr:row>30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5" r:id="rId41" name="Check Box 89">
              <controlPr defaultSize="0" autoFill="0" autoLine="0" autoPict="0">
                <anchor moveWithCells="1">
                  <from>
                    <xdr:col>3</xdr:col>
                    <xdr:colOff>139700</xdr:colOff>
                    <xdr:row>31</xdr:row>
                    <xdr:rowOff>50800</xdr:rowOff>
                  </from>
                  <to>
                    <xdr:col>4</xdr:col>
                    <xdr:colOff>146050</xdr:colOff>
                    <xdr:row>31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6" r:id="rId42" name="Check Box 90">
              <controlPr defaultSize="0" autoFill="0" autoLine="0" autoPict="0">
                <anchor moveWithCells="1">
                  <from>
                    <xdr:col>3</xdr:col>
                    <xdr:colOff>139700</xdr:colOff>
                    <xdr:row>32</xdr:row>
                    <xdr:rowOff>50800</xdr:rowOff>
                  </from>
                  <to>
                    <xdr:col>4</xdr:col>
                    <xdr:colOff>146050</xdr:colOff>
                    <xdr:row>32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7" r:id="rId43" name="Check Box 91">
              <controlPr defaultSize="0" autoFill="0" autoLine="0" autoPict="0">
                <anchor moveWithCells="1">
                  <from>
                    <xdr:col>3</xdr:col>
                    <xdr:colOff>139700</xdr:colOff>
                    <xdr:row>33</xdr:row>
                    <xdr:rowOff>50800</xdr:rowOff>
                  </from>
                  <to>
                    <xdr:col>4</xdr:col>
                    <xdr:colOff>146050</xdr:colOff>
                    <xdr:row>33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8" r:id="rId44" name="Check Box 92">
              <controlPr defaultSize="0" autoFill="0" autoLine="0" autoPict="0">
                <anchor moveWithCells="1">
                  <from>
                    <xdr:col>3</xdr:col>
                    <xdr:colOff>139700</xdr:colOff>
                    <xdr:row>34</xdr:row>
                    <xdr:rowOff>50800</xdr:rowOff>
                  </from>
                  <to>
                    <xdr:col>4</xdr:col>
                    <xdr:colOff>146050</xdr:colOff>
                    <xdr:row>34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9" r:id="rId45" name="Check Box 93">
              <controlPr defaultSize="0" autoFill="0" autoLine="0" autoPict="0">
                <anchor moveWithCells="1">
                  <from>
                    <xdr:col>3</xdr:col>
                    <xdr:colOff>139700</xdr:colOff>
                    <xdr:row>35</xdr:row>
                    <xdr:rowOff>50800</xdr:rowOff>
                  </from>
                  <to>
                    <xdr:col>4</xdr:col>
                    <xdr:colOff>146050</xdr:colOff>
                    <xdr:row>35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0" r:id="rId46" name="Check Box 94">
              <controlPr defaultSize="0" autoFill="0" autoLine="0" autoPict="0">
                <anchor moveWithCells="1">
                  <from>
                    <xdr:col>3</xdr:col>
                    <xdr:colOff>139700</xdr:colOff>
                    <xdr:row>36</xdr:row>
                    <xdr:rowOff>50800</xdr:rowOff>
                  </from>
                  <to>
                    <xdr:col>4</xdr:col>
                    <xdr:colOff>146050</xdr:colOff>
                    <xdr:row>36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1" r:id="rId47" name="Check Box 95">
              <controlPr defaultSize="0" autoFill="0" autoLine="0" autoPict="0">
                <anchor moveWithCells="1">
                  <from>
                    <xdr:col>3</xdr:col>
                    <xdr:colOff>139700</xdr:colOff>
                    <xdr:row>37</xdr:row>
                    <xdr:rowOff>50800</xdr:rowOff>
                  </from>
                  <to>
                    <xdr:col>4</xdr:col>
                    <xdr:colOff>146050</xdr:colOff>
                    <xdr:row>37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2" r:id="rId48" name="Check Box 96">
              <controlPr defaultSize="0" autoFill="0" autoLine="0" autoPict="0">
                <anchor moveWithCells="1">
                  <from>
                    <xdr:col>3</xdr:col>
                    <xdr:colOff>139700</xdr:colOff>
                    <xdr:row>38</xdr:row>
                    <xdr:rowOff>50800</xdr:rowOff>
                  </from>
                  <to>
                    <xdr:col>4</xdr:col>
                    <xdr:colOff>146050</xdr:colOff>
                    <xdr:row>38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3" r:id="rId49" name="Check Box 97">
              <controlPr defaultSize="0" autoFill="0" autoLine="0" autoPict="0">
                <anchor moveWithCells="1">
                  <from>
                    <xdr:col>3</xdr:col>
                    <xdr:colOff>139700</xdr:colOff>
                    <xdr:row>39</xdr:row>
                    <xdr:rowOff>50800</xdr:rowOff>
                  </from>
                  <to>
                    <xdr:col>4</xdr:col>
                    <xdr:colOff>146050</xdr:colOff>
                    <xdr:row>39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4" r:id="rId50" name="Check Box 98">
              <controlPr defaultSize="0" autoFill="0" autoLine="0" autoPict="0">
                <anchor moveWithCells="1">
                  <from>
                    <xdr:col>3</xdr:col>
                    <xdr:colOff>139700</xdr:colOff>
                    <xdr:row>40</xdr:row>
                    <xdr:rowOff>50800</xdr:rowOff>
                  </from>
                  <to>
                    <xdr:col>4</xdr:col>
                    <xdr:colOff>146050</xdr:colOff>
                    <xdr:row>40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5" r:id="rId51" name="Check Box 99">
              <controlPr defaultSize="0" autoFill="0" autoLine="0" autoPict="0">
                <anchor moveWithCells="1">
                  <from>
                    <xdr:col>3</xdr:col>
                    <xdr:colOff>139700</xdr:colOff>
                    <xdr:row>41</xdr:row>
                    <xdr:rowOff>50800</xdr:rowOff>
                  </from>
                  <to>
                    <xdr:col>4</xdr:col>
                    <xdr:colOff>146050</xdr:colOff>
                    <xdr:row>41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6" r:id="rId52" name="Check Box 100">
              <controlPr defaultSize="0" autoFill="0" autoLine="0" autoPict="0">
                <anchor moveWithCells="1">
                  <from>
                    <xdr:col>3</xdr:col>
                    <xdr:colOff>139700</xdr:colOff>
                    <xdr:row>42</xdr:row>
                    <xdr:rowOff>50800</xdr:rowOff>
                  </from>
                  <to>
                    <xdr:col>4</xdr:col>
                    <xdr:colOff>146050</xdr:colOff>
                    <xdr:row>42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7" r:id="rId53" name="Check Box 101">
              <controlPr defaultSize="0" autoFill="0" autoLine="0" autoPict="0">
                <anchor moveWithCells="1">
                  <from>
                    <xdr:col>3</xdr:col>
                    <xdr:colOff>139700</xdr:colOff>
                    <xdr:row>43</xdr:row>
                    <xdr:rowOff>50800</xdr:rowOff>
                  </from>
                  <to>
                    <xdr:col>4</xdr:col>
                    <xdr:colOff>146050</xdr:colOff>
                    <xdr:row>43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8" r:id="rId54" name="Check Box 102">
              <controlPr defaultSize="0" autoFill="0" autoLine="0" autoPict="0">
                <anchor moveWithCells="1">
                  <from>
                    <xdr:col>3</xdr:col>
                    <xdr:colOff>139700</xdr:colOff>
                    <xdr:row>44</xdr:row>
                    <xdr:rowOff>50800</xdr:rowOff>
                  </from>
                  <to>
                    <xdr:col>4</xdr:col>
                    <xdr:colOff>146050</xdr:colOff>
                    <xdr:row>44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9" r:id="rId55" name="Check Box 103">
              <controlPr defaultSize="0" autoFill="0" autoLine="0" autoPict="0">
                <anchor moveWithCells="1">
                  <from>
                    <xdr:col>3</xdr:col>
                    <xdr:colOff>139700</xdr:colOff>
                    <xdr:row>45</xdr:row>
                    <xdr:rowOff>50800</xdr:rowOff>
                  </from>
                  <to>
                    <xdr:col>4</xdr:col>
                    <xdr:colOff>146050</xdr:colOff>
                    <xdr:row>45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0" r:id="rId56" name="Check Box 104">
              <controlPr defaultSize="0" autoFill="0" autoLine="0" autoPict="0">
                <anchor moveWithCells="1">
                  <from>
                    <xdr:col>3</xdr:col>
                    <xdr:colOff>139700</xdr:colOff>
                    <xdr:row>46</xdr:row>
                    <xdr:rowOff>50800</xdr:rowOff>
                  </from>
                  <to>
                    <xdr:col>4</xdr:col>
                    <xdr:colOff>146050</xdr:colOff>
                    <xdr:row>46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1" r:id="rId57" name="Check Box 105">
              <controlPr defaultSize="0" autoFill="0" autoLine="0" autoPict="0">
                <anchor moveWithCells="1">
                  <from>
                    <xdr:col>3</xdr:col>
                    <xdr:colOff>139700</xdr:colOff>
                    <xdr:row>47</xdr:row>
                    <xdr:rowOff>50800</xdr:rowOff>
                  </from>
                  <to>
                    <xdr:col>4</xdr:col>
                    <xdr:colOff>146050</xdr:colOff>
                    <xdr:row>47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2" r:id="rId58" name="Check Box 106">
              <controlPr defaultSize="0" autoFill="0" autoLine="0" autoPict="0">
                <anchor moveWithCells="1">
                  <from>
                    <xdr:col>3</xdr:col>
                    <xdr:colOff>139700</xdr:colOff>
                    <xdr:row>48</xdr:row>
                    <xdr:rowOff>50800</xdr:rowOff>
                  </from>
                  <to>
                    <xdr:col>4</xdr:col>
                    <xdr:colOff>146050</xdr:colOff>
                    <xdr:row>48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3" r:id="rId59" name="Check Box 107">
              <controlPr defaultSize="0" autoFill="0" autoLine="0" autoPict="0">
                <anchor moveWithCells="1">
                  <from>
                    <xdr:col>3</xdr:col>
                    <xdr:colOff>139700</xdr:colOff>
                    <xdr:row>49</xdr:row>
                    <xdr:rowOff>50800</xdr:rowOff>
                  </from>
                  <to>
                    <xdr:col>4</xdr:col>
                    <xdr:colOff>146050</xdr:colOff>
                    <xdr:row>49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4" r:id="rId60" name="Check Box 108">
              <controlPr defaultSize="0" autoFill="0" autoLine="0" autoPict="0">
                <anchor moveWithCells="1">
                  <from>
                    <xdr:col>3</xdr:col>
                    <xdr:colOff>139700</xdr:colOff>
                    <xdr:row>50</xdr:row>
                    <xdr:rowOff>50800</xdr:rowOff>
                  </from>
                  <to>
                    <xdr:col>4</xdr:col>
                    <xdr:colOff>146050</xdr:colOff>
                    <xdr:row>50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5" r:id="rId61" name="Check Box 109">
              <controlPr defaultSize="0" autoFill="0" autoLine="0" autoPict="0">
                <anchor moveWithCells="1">
                  <from>
                    <xdr:col>3</xdr:col>
                    <xdr:colOff>139700</xdr:colOff>
                    <xdr:row>51</xdr:row>
                    <xdr:rowOff>50800</xdr:rowOff>
                  </from>
                  <to>
                    <xdr:col>4</xdr:col>
                    <xdr:colOff>146050</xdr:colOff>
                    <xdr:row>51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6" r:id="rId62" name="Check Box 110">
              <controlPr defaultSize="0" autoFill="0" autoLine="0" autoPict="0">
                <anchor moveWithCells="1">
                  <from>
                    <xdr:col>3</xdr:col>
                    <xdr:colOff>139700</xdr:colOff>
                    <xdr:row>52</xdr:row>
                    <xdr:rowOff>50800</xdr:rowOff>
                  </from>
                  <to>
                    <xdr:col>4</xdr:col>
                    <xdr:colOff>146050</xdr:colOff>
                    <xdr:row>52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7" r:id="rId63" name="Check Box 111">
              <controlPr defaultSize="0" autoFill="0" autoLine="0" autoPict="0">
                <anchor moveWithCells="1">
                  <from>
                    <xdr:col>3</xdr:col>
                    <xdr:colOff>139700</xdr:colOff>
                    <xdr:row>53</xdr:row>
                    <xdr:rowOff>50800</xdr:rowOff>
                  </from>
                  <to>
                    <xdr:col>4</xdr:col>
                    <xdr:colOff>146050</xdr:colOff>
                    <xdr:row>53</xdr:row>
                    <xdr:rowOff>139700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4F3EE-6F88-4D4A-B63C-594A837A1981}">
  <sheetPr codeName="Sheet6"/>
  <dimension ref="A1:L65"/>
  <sheetViews>
    <sheetView showGridLines="0" zoomScaleNormal="100" zoomScaleSheetLayoutView="115" workbookViewId="0">
      <selection activeCell="E7" sqref="E7"/>
    </sheetView>
  </sheetViews>
  <sheetFormatPr defaultRowHeight="13.5" customHeight="1" x14ac:dyDescent="0.35"/>
  <cols>
    <col min="1" max="1" width="11.26953125" style="5" customWidth="1"/>
    <col min="2" max="2" width="20.1796875" style="5" customWidth="1"/>
    <col min="3" max="3" width="27.453125" style="5" customWidth="1"/>
    <col min="4" max="4" width="5.90625" style="5" hidden="1" customWidth="1"/>
  </cols>
  <sheetData>
    <row r="1" spans="1:12" ht="13.5" customHeight="1" x14ac:dyDescent="0.35">
      <c r="A1" s="146" t="s">
        <v>2</v>
      </c>
      <c r="B1" s="147"/>
      <c r="C1" s="147"/>
      <c r="D1" s="147"/>
      <c r="E1" s="147"/>
      <c r="F1" s="146" t="str">
        <f>Reasoning!F1</f>
        <v>SSC EXAM</v>
      </c>
      <c r="G1" s="147"/>
      <c r="H1" s="147"/>
      <c r="I1" s="147"/>
      <c r="J1" s="49"/>
      <c r="K1" s="49"/>
      <c r="L1" s="49"/>
    </row>
    <row r="2" spans="1:12" ht="13.5" customHeight="1" x14ac:dyDescent="0.35">
      <c r="A2" s="14" t="s">
        <v>76</v>
      </c>
      <c r="B2" s="14" t="s">
        <v>77</v>
      </c>
      <c r="C2" s="14" t="s">
        <v>78</v>
      </c>
      <c r="D2" s="14" t="s">
        <v>74</v>
      </c>
      <c r="E2" s="26" t="s">
        <v>74</v>
      </c>
      <c r="F2" s="50" t="s">
        <v>126</v>
      </c>
      <c r="G2" s="50" t="s">
        <v>78</v>
      </c>
      <c r="H2" s="50" t="s">
        <v>259</v>
      </c>
      <c r="I2" s="50" t="s">
        <v>260</v>
      </c>
      <c r="J2" s="49"/>
      <c r="K2" s="49"/>
      <c r="L2" s="49"/>
    </row>
    <row r="3" spans="1:12" ht="13.5" customHeight="1" x14ac:dyDescent="0.35">
      <c r="A3" s="14" t="s">
        <v>99</v>
      </c>
      <c r="B3" s="14" t="s">
        <v>166</v>
      </c>
      <c r="C3" s="14" t="s">
        <v>167</v>
      </c>
      <c r="D3" s="14" t="b">
        <v>0</v>
      </c>
      <c r="E3" s="26"/>
      <c r="F3" s="50" t="s">
        <v>2</v>
      </c>
      <c r="G3" s="51">
        <f>COUNTA(C3:C65)</f>
        <v>63</v>
      </c>
      <c r="H3" s="51">
        <f>COUNTIF(D3:D65,TRUE)</f>
        <v>0</v>
      </c>
      <c r="I3" s="51">
        <f>COUNTIF(D3:D65,FALSE)</f>
        <v>63</v>
      </c>
      <c r="J3" s="49"/>
      <c r="K3" s="49"/>
      <c r="L3" s="49"/>
    </row>
    <row r="4" spans="1:12" ht="13.5" customHeight="1" x14ac:dyDescent="0.35">
      <c r="A4" s="14" t="s">
        <v>99</v>
      </c>
      <c r="B4" s="14" t="s">
        <v>166</v>
      </c>
      <c r="C4" s="14" t="s">
        <v>168</v>
      </c>
      <c r="D4" s="14" t="b">
        <v>0</v>
      </c>
      <c r="E4" s="14"/>
      <c r="F4" s="49"/>
      <c r="G4" s="49"/>
      <c r="H4" s="49"/>
      <c r="I4" s="49"/>
      <c r="J4" s="49"/>
      <c r="K4" s="49"/>
      <c r="L4" s="49"/>
    </row>
    <row r="5" spans="1:12" ht="13.5" customHeight="1" x14ac:dyDescent="0.35">
      <c r="A5" s="14" t="s">
        <v>99</v>
      </c>
      <c r="B5" s="14" t="s">
        <v>166</v>
      </c>
      <c r="C5" s="14" t="s">
        <v>169</v>
      </c>
      <c r="D5" s="14" t="b">
        <v>0</v>
      </c>
      <c r="E5" s="14"/>
      <c r="F5" s="49"/>
      <c r="G5" s="49"/>
      <c r="H5" s="49"/>
      <c r="I5" s="49"/>
      <c r="J5" s="49"/>
      <c r="K5" s="49"/>
      <c r="L5" s="49"/>
    </row>
    <row r="6" spans="1:12" ht="13.5" customHeight="1" x14ac:dyDescent="0.35">
      <c r="A6" s="14" t="s">
        <v>99</v>
      </c>
      <c r="B6" s="14" t="s">
        <v>166</v>
      </c>
      <c r="C6" s="14" t="s">
        <v>170</v>
      </c>
      <c r="D6" s="14" t="b">
        <v>0</v>
      </c>
      <c r="E6" s="14"/>
      <c r="F6" s="49"/>
      <c r="G6" s="49"/>
      <c r="H6" s="49"/>
      <c r="I6" s="49"/>
      <c r="J6" s="49"/>
      <c r="K6" s="49"/>
      <c r="L6" s="49"/>
    </row>
    <row r="7" spans="1:12" ht="13.5" customHeight="1" x14ac:dyDescent="0.35">
      <c r="A7" s="14" t="s">
        <v>99</v>
      </c>
      <c r="B7" s="14" t="s">
        <v>166</v>
      </c>
      <c r="C7" s="14" t="s">
        <v>171</v>
      </c>
      <c r="D7" s="14" t="b">
        <v>0</v>
      </c>
      <c r="E7" s="14"/>
      <c r="F7" s="49"/>
      <c r="G7" s="49"/>
      <c r="H7" s="49"/>
      <c r="I7" s="49"/>
      <c r="J7" s="49"/>
      <c r="K7" s="49"/>
      <c r="L7" s="49"/>
    </row>
    <row r="8" spans="1:12" ht="13.5" customHeight="1" x14ac:dyDescent="0.35">
      <c r="A8" s="14" t="s">
        <v>99</v>
      </c>
      <c r="B8" s="14" t="s">
        <v>172</v>
      </c>
      <c r="C8" s="14" t="s">
        <v>173</v>
      </c>
      <c r="D8" s="14" t="b">
        <v>0</v>
      </c>
      <c r="E8" s="14"/>
      <c r="F8" s="49"/>
      <c r="G8" s="49"/>
      <c r="H8" s="49"/>
      <c r="I8" s="49"/>
      <c r="J8" s="49"/>
      <c r="K8" s="49"/>
      <c r="L8" s="49"/>
    </row>
    <row r="9" spans="1:12" ht="13.5" customHeight="1" x14ac:dyDescent="0.35">
      <c r="A9" s="14" t="s">
        <v>99</v>
      </c>
      <c r="B9" s="14" t="s">
        <v>172</v>
      </c>
      <c r="C9" s="14" t="s">
        <v>174</v>
      </c>
      <c r="D9" s="14" t="b">
        <v>0</v>
      </c>
      <c r="E9" s="14"/>
      <c r="F9" s="49"/>
      <c r="G9" s="49"/>
      <c r="H9" s="49"/>
      <c r="I9" s="49"/>
      <c r="J9" s="49"/>
      <c r="K9" s="49"/>
      <c r="L9" s="49"/>
    </row>
    <row r="10" spans="1:12" ht="13.5" customHeight="1" x14ac:dyDescent="0.35">
      <c r="A10" s="14" t="s">
        <v>99</v>
      </c>
      <c r="B10" s="14" t="s">
        <v>172</v>
      </c>
      <c r="C10" s="14" t="s">
        <v>175</v>
      </c>
      <c r="D10" s="14" t="b">
        <v>0</v>
      </c>
      <c r="E10" s="14"/>
      <c r="F10" s="49"/>
      <c r="G10" s="49"/>
      <c r="H10" s="49"/>
      <c r="I10" s="49"/>
      <c r="J10" s="49"/>
      <c r="K10" s="49"/>
      <c r="L10" s="49"/>
    </row>
    <row r="11" spans="1:12" ht="13.5" customHeight="1" x14ac:dyDescent="0.35">
      <c r="A11" s="14" t="s">
        <v>99</v>
      </c>
      <c r="B11" s="14" t="s">
        <v>176</v>
      </c>
      <c r="C11" s="14" t="s">
        <v>177</v>
      </c>
      <c r="D11" s="14" t="b">
        <v>0</v>
      </c>
      <c r="E11" s="14"/>
      <c r="F11" s="49"/>
      <c r="G11" s="49"/>
      <c r="H11" s="49"/>
      <c r="I11" s="49"/>
      <c r="J11" s="49"/>
      <c r="K11" s="49"/>
      <c r="L11" s="49"/>
    </row>
    <row r="12" spans="1:12" ht="13.5" customHeight="1" x14ac:dyDescent="0.35">
      <c r="A12" s="14" t="s">
        <v>99</v>
      </c>
      <c r="B12" s="14" t="s">
        <v>176</v>
      </c>
      <c r="C12" s="14" t="s">
        <v>178</v>
      </c>
      <c r="D12" s="14" t="b">
        <v>0</v>
      </c>
      <c r="E12" s="14"/>
      <c r="F12" s="49"/>
      <c r="G12" s="49"/>
      <c r="H12" s="49"/>
      <c r="I12" s="49"/>
      <c r="J12" s="49"/>
      <c r="K12" s="49"/>
      <c r="L12" s="49"/>
    </row>
    <row r="13" spans="1:12" ht="13.5" customHeight="1" x14ac:dyDescent="0.35">
      <c r="A13" s="14" t="s">
        <v>99</v>
      </c>
      <c r="B13" s="14" t="s">
        <v>176</v>
      </c>
      <c r="C13" s="14" t="s">
        <v>44</v>
      </c>
      <c r="D13" s="14" t="b">
        <v>0</v>
      </c>
      <c r="E13" s="14"/>
      <c r="F13" s="49"/>
      <c r="G13" s="49"/>
      <c r="H13" s="49"/>
      <c r="I13" s="49"/>
      <c r="J13" s="49"/>
      <c r="K13" s="49"/>
      <c r="L13" s="49"/>
    </row>
    <row r="14" spans="1:12" ht="13.5" customHeight="1" x14ac:dyDescent="0.35">
      <c r="A14" s="14" t="s">
        <v>99</v>
      </c>
      <c r="B14" s="14" t="s">
        <v>176</v>
      </c>
      <c r="C14" s="14" t="s">
        <v>179</v>
      </c>
      <c r="D14" s="14" t="b">
        <v>0</v>
      </c>
      <c r="E14" s="14"/>
      <c r="F14" s="49"/>
      <c r="G14" s="49"/>
      <c r="H14" s="49"/>
      <c r="I14" s="49"/>
      <c r="J14" s="49"/>
      <c r="K14" s="49"/>
      <c r="L14" s="49"/>
    </row>
    <row r="15" spans="1:12" ht="13.5" customHeight="1" x14ac:dyDescent="0.35">
      <c r="A15" s="14" t="s">
        <v>99</v>
      </c>
      <c r="B15" s="14" t="s">
        <v>176</v>
      </c>
      <c r="C15" s="14" t="s">
        <v>180</v>
      </c>
      <c r="D15" s="14" t="b">
        <v>0</v>
      </c>
      <c r="E15" s="14"/>
      <c r="F15" s="49"/>
      <c r="G15" s="49"/>
      <c r="H15" s="49"/>
      <c r="I15" s="49"/>
      <c r="J15" s="49"/>
      <c r="K15" s="49"/>
      <c r="L15" s="49"/>
    </row>
    <row r="16" spans="1:12" ht="13.5" customHeight="1" x14ac:dyDescent="0.35">
      <c r="A16" s="14" t="s">
        <v>104</v>
      </c>
      <c r="B16" s="14" t="s">
        <v>181</v>
      </c>
      <c r="C16" s="14" t="s">
        <v>182</v>
      </c>
      <c r="D16" s="14" t="b">
        <v>0</v>
      </c>
      <c r="E16" s="14"/>
      <c r="F16" s="49"/>
      <c r="G16" s="49"/>
      <c r="H16" s="49"/>
      <c r="I16" s="49"/>
      <c r="J16" s="49"/>
      <c r="K16" s="49"/>
      <c r="L16" s="49"/>
    </row>
    <row r="17" spans="1:12" ht="13.5" customHeight="1" x14ac:dyDescent="0.35">
      <c r="A17" s="14" t="s">
        <v>104</v>
      </c>
      <c r="B17" s="14" t="s">
        <v>181</v>
      </c>
      <c r="C17" s="14" t="s">
        <v>183</v>
      </c>
      <c r="D17" s="14" t="b">
        <v>0</v>
      </c>
      <c r="E17" s="14"/>
      <c r="F17" s="49"/>
      <c r="G17" s="49"/>
      <c r="H17" s="49"/>
      <c r="I17" s="49"/>
      <c r="J17" s="49"/>
      <c r="K17" s="49"/>
      <c r="L17" s="49"/>
    </row>
    <row r="18" spans="1:12" ht="13.5" customHeight="1" x14ac:dyDescent="0.35">
      <c r="A18" s="14" t="s">
        <v>104</v>
      </c>
      <c r="B18" s="14" t="s">
        <v>181</v>
      </c>
      <c r="C18" s="14" t="s">
        <v>184</v>
      </c>
      <c r="D18" s="14" t="b">
        <v>0</v>
      </c>
      <c r="E18" s="14"/>
      <c r="F18" s="49"/>
      <c r="G18" s="49"/>
      <c r="H18" s="49"/>
      <c r="I18" s="49"/>
      <c r="J18" s="49"/>
      <c r="K18" s="49"/>
      <c r="L18" s="49"/>
    </row>
    <row r="19" spans="1:12" ht="13.5" customHeight="1" x14ac:dyDescent="0.35">
      <c r="A19" s="14" t="s">
        <v>104</v>
      </c>
      <c r="B19" s="14" t="s">
        <v>181</v>
      </c>
      <c r="C19" s="14" t="s">
        <v>185</v>
      </c>
      <c r="D19" s="14" t="b">
        <v>0</v>
      </c>
      <c r="E19" s="14"/>
      <c r="F19" s="49"/>
      <c r="G19" s="49"/>
      <c r="H19" s="49"/>
      <c r="I19" s="49"/>
      <c r="J19" s="49"/>
      <c r="K19" s="49"/>
      <c r="L19" s="49"/>
    </row>
    <row r="20" spans="1:12" ht="13.5" customHeight="1" x14ac:dyDescent="0.35">
      <c r="A20" s="14" t="s">
        <v>104</v>
      </c>
      <c r="B20" s="14" t="s">
        <v>105</v>
      </c>
      <c r="C20" s="14" t="s">
        <v>107</v>
      </c>
      <c r="D20" s="14" t="b">
        <v>0</v>
      </c>
      <c r="E20" s="14"/>
      <c r="F20" s="49"/>
      <c r="G20" s="49"/>
      <c r="H20" s="49"/>
      <c r="I20" s="49"/>
      <c r="J20" s="49"/>
      <c r="K20" s="49"/>
      <c r="L20" s="49"/>
    </row>
    <row r="21" spans="1:12" ht="13.5" customHeight="1" x14ac:dyDescent="0.35">
      <c r="A21" s="14" t="s">
        <v>104</v>
      </c>
      <c r="B21" s="14" t="s">
        <v>105</v>
      </c>
      <c r="C21" s="14" t="s">
        <v>186</v>
      </c>
      <c r="D21" s="14" t="b">
        <v>0</v>
      </c>
      <c r="E21" s="14"/>
      <c r="F21" s="49"/>
      <c r="G21" s="49"/>
      <c r="H21" s="49"/>
      <c r="I21" s="49"/>
      <c r="J21" s="49"/>
      <c r="K21" s="49"/>
      <c r="L21" s="49"/>
    </row>
    <row r="22" spans="1:12" ht="13.5" customHeight="1" x14ac:dyDescent="0.35">
      <c r="A22" s="14" t="s">
        <v>104</v>
      </c>
      <c r="B22" s="14" t="s">
        <v>105</v>
      </c>
      <c r="C22" s="14" t="s">
        <v>187</v>
      </c>
      <c r="D22" s="14" t="b">
        <v>0</v>
      </c>
      <c r="E22" s="14"/>
      <c r="F22" s="49"/>
      <c r="G22" s="49"/>
      <c r="H22" s="49"/>
      <c r="I22" s="49"/>
      <c r="J22" s="49"/>
      <c r="K22" s="49"/>
      <c r="L22" s="49"/>
    </row>
    <row r="23" spans="1:12" ht="13.5" customHeight="1" x14ac:dyDescent="0.35">
      <c r="A23" s="14" t="s">
        <v>104</v>
      </c>
      <c r="B23" s="14" t="s">
        <v>105</v>
      </c>
      <c r="C23" s="14" t="s">
        <v>188</v>
      </c>
      <c r="D23" s="14" t="b">
        <v>0</v>
      </c>
      <c r="E23" s="14"/>
    </row>
    <row r="24" spans="1:12" ht="13.5" customHeight="1" x14ac:dyDescent="0.35">
      <c r="A24" s="14" t="s">
        <v>104</v>
      </c>
      <c r="B24" s="14" t="s">
        <v>106</v>
      </c>
      <c r="C24" s="14" t="s">
        <v>189</v>
      </c>
      <c r="D24" s="14" t="b">
        <v>0</v>
      </c>
      <c r="E24" s="14"/>
    </row>
    <row r="25" spans="1:12" ht="13.5" customHeight="1" x14ac:dyDescent="0.35">
      <c r="A25" s="14" t="s">
        <v>100</v>
      </c>
      <c r="B25" s="14" t="s">
        <v>101</v>
      </c>
      <c r="C25" s="14" t="s">
        <v>190</v>
      </c>
      <c r="D25" s="14" t="b">
        <v>0</v>
      </c>
      <c r="E25" s="14"/>
    </row>
    <row r="26" spans="1:12" ht="13.5" customHeight="1" x14ac:dyDescent="0.35">
      <c r="A26" s="14" t="s">
        <v>100</v>
      </c>
      <c r="B26" s="14" t="s">
        <v>101</v>
      </c>
      <c r="C26" s="14" t="s">
        <v>191</v>
      </c>
      <c r="D26" s="14" t="b">
        <v>0</v>
      </c>
      <c r="E26" s="14"/>
    </row>
    <row r="27" spans="1:12" ht="13.5" customHeight="1" x14ac:dyDescent="0.35">
      <c r="A27" s="14" t="s">
        <v>100</v>
      </c>
      <c r="B27" s="14" t="s">
        <v>101</v>
      </c>
      <c r="C27" s="14" t="s">
        <v>102</v>
      </c>
      <c r="D27" s="14" t="b">
        <v>0</v>
      </c>
      <c r="E27" s="14"/>
    </row>
    <row r="28" spans="1:12" ht="13.5" customHeight="1" x14ac:dyDescent="0.35">
      <c r="A28" s="14" t="s">
        <v>100</v>
      </c>
      <c r="B28" s="14" t="s">
        <v>101</v>
      </c>
      <c r="C28" s="14" t="s">
        <v>192</v>
      </c>
      <c r="D28" s="14" t="b">
        <v>0</v>
      </c>
      <c r="E28" s="14"/>
    </row>
    <row r="29" spans="1:12" ht="13.5" customHeight="1" x14ac:dyDescent="0.35">
      <c r="A29" s="14" t="s">
        <v>100</v>
      </c>
      <c r="B29" s="14" t="s">
        <v>101</v>
      </c>
      <c r="C29" s="14" t="s">
        <v>193</v>
      </c>
      <c r="D29" s="14" t="b">
        <v>0</v>
      </c>
      <c r="E29" s="14"/>
    </row>
    <row r="30" spans="1:12" ht="13.5" customHeight="1" x14ac:dyDescent="0.35">
      <c r="A30" s="14" t="s">
        <v>100</v>
      </c>
      <c r="B30" s="14" t="s">
        <v>194</v>
      </c>
      <c r="C30" s="14" t="s">
        <v>195</v>
      </c>
      <c r="D30" s="14" t="b">
        <v>0</v>
      </c>
      <c r="E30" s="14"/>
    </row>
    <row r="31" spans="1:12" ht="13.5" customHeight="1" x14ac:dyDescent="0.35">
      <c r="A31" s="14" t="s">
        <v>100</v>
      </c>
      <c r="B31" s="14" t="s">
        <v>194</v>
      </c>
      <c r="C31" s="14" t="s">
        <v>196</v>
      </c>
      <c r="D31" s="14" t="b">
        <v>0</v>
      </c>
      <c r="E31" s="14"/>
    </row>
    <row r="32" spans="1:12" ht="13.5" customHeight="1" x14ac:dyDescent="0.35">
      <c r="A32" s="14" t="s">
        <v>100</v>
      </c>
      <c r="B32" s="14" t="s">
        <v>194</v>
      </c>
      <c r="C32" s="14" t="s">
        <v>103</v>
      </c>
      <c r="D32" s="14" t="b">
        <v>0</v>
      </c>
      <c r="E32" s="14"/>
    </row>
    <row r="33" spans="1:5" ht="13.5" customHeight="1" x14ac:dyDescent="0.35">
      <c r="A33" s="14" t="s">
        <v>100</v>
      </c>
      <c r="B33" s="14" t="s">
        <v>197</v>
      </c>
      <c r="C33" s="14" t="s">
        <v>198</v>
      </c>
      <c r="D33" s="14" t="b">
        <v>0</v>
      </c>
      <c r="E33" s="14"/>
    </row>
    <row r="34" spans="1:5" ht="13.5" customHeight="1" x14ac:dyDescent="0.35">
      <c r="A34" s="14" t="s">
        <v>100</v>
      </c>
      <c r="B34" s="14" t="s">
        <v>197</v>
      </c>
      <c r="C34" s="14" t="s">
        <v>199</v>
      </c>
      <c r="D34" s="14" t="b">
        <v>0</v>
      </c>
      <c r="E34" s="14"/>
    </row>
    <row r="35" spans="1:5" ht="13.5" customHeight="1" x14ac:dyDescent="0.35">
      <c r="A35" s="14" t="s">
        <v>100</v>
      </c>
      <c r="B35" s="14" t="s">
        <v>200</v>
      </c>
      <c r="C35" s="14" t="s">
        <v>201</v>
      </c>
      <c r="D35" s="14" t="b">
        <v>0</v>
      </c>
      <c r="E35" s="14"/>
    </row>
    <row r="36" spans="1:5" ht="13.5" customHeight="1" x14ac:dyDescent="0.35">
      <c r="A36" s="14" t="s">
        <v>100</v>
      </c>
      <c r="B36" s="14" t="s">
        <v>200</v>
      </c>
      <c r="C36" s="14" t="s">
        <v>202</v>
      </c>
      <c r="D36" s="14" t="b">
        <v>0</v>
      </c>
      <c r="E36" s="14"/>
    </row>
    <row r="37" spans="1:5" ht="13.5" customHeight="1" x14ac:dyDescent="0.35">
      <c r="A37" s="14" t="s">
        <v>203</v>
      </c>
      <c r="B37" s="14" t="s">
        <v>204</v>
      </c>
      <c r="C37" s="14" t="s">
        <v>205</v>
      </c>
      <c r="D37" s="14" t="b">
        <v>0</v>
      </c>
      <c r="E37" s="14"/>
    </row>
    <row r="38" spans="1:5" ht="13.5" customHeight="1" x14ac:dyDescent="0.35">
      <c r="A38" s="14" t="s">
        <v>203</v>
      </c>
      <c r="B38" s="14" t="s">
        <v>206</v>
      </c>
      <c r="C38" s="14" t="s">
        <v>207</v>
      </c>
      <c r="D38" s="14" t="b">
        <v>0</v>
      </c>
      <c r="E38" s="14"/>
    </row>
    <row r="39" spans="1:5" ht="13.5" customHeight="1" x14ac:dyDescent="0.35">
      <c r="A39" s="14" t="s">
        <v>203</v>
      </c>
      <c r="B39" s="14" t="s">
        <v>108</v>
      </c>
      <c r="C39" s="14" t="s">
        <v>208</v>
      </c>
      <c r="D39" s="14" t="b">
        <v>0</v>
      </c>
      <c r="E39" s="14"/>
    </row>
    <row r="40" spans="1:5" ht="13.5" customHeight="1" x14ac:dyDescent="0.35">
      <c r="A40" s="14" t="s">
        <v>203</v>
      </c>
      <c r="B40" s="14" t="s">
        <v>209</v>
      </c>
      <c r="C40" s="14" t="s">
        <v>210</v>
      </c>
      <c r="D40" s="14" t="b">
        <v>0</v>
      </c>
      <c r="E40" s="14"/>
    </row>
    <row r="41" spans="1:5" ht="13.5" customHeight="1" x14ac:dyDescent="0.35">
      <c r="A41" s="14" t="s">
        <v>203</v>
      </c>
      <c r="B41" s="14" t="s">
        <v>209</v>
      </c>
      <c r="C41" s="14" t="s">
        <v>211</v>
      </c>
      <c r="D41" s="14" t="b">
        <v>0</v>
      </c>
      <c r="E41" s="14"/>
    </row>
    <row r="42" spans="1:5" ht="13.5" customHeight="1" x14ac:dyDescent="0.35">
      <c r="A42" s="14" t="s">
        <v>203</v>
      </c>
      <c r="B42" s="14" t="s">
        <v>212</v>
      </c>
      <c r="C42" s="14" t="s">
        <v>213</v>
      </c>
      <c r="D42" s="14" t="b">
        <v>0</v>
      </c>
      <c r="E42" s="14"/>
    </row>
    <row r="43" spans="1:5" ht="13.5" customHeight="1" x14ac:dyDescent="0.35">
      <c r="A43" s="14" t="s">
        <v>203</v>
      </c>
      <c r="B43" s="14" t="s">
        <v>214</v>
      </c>
      <c r="C43" s="14" t="s">
        <v>215</v>
      </c>
      <c r="D43" s="14" t="b">
        <v>0</v>
      </c>
      <c r="E43" s="14"/>
    </row>
    <row r="44" spans="1:5" ht="13.5" customHeight="1" x14ac:dyDescent="0.35">
      <c r="A44" s="14" t="s">
        <v>45</v>
      </c>
      <c r="B44" s="14" t="s">
        <v>216</v>
      </c>
      <c r="C44" s="14" t="s">
        <v>217</v>
      </c>
      <c r="D44" s="14" t="b">
        <v>0</v>
      </c>
      <c r="E44" s="14"/>
    </row>
    <row r="45" spans="1:5" ht="13.5" customHeight="1" x14ac:dyDescent="0.35">
      <c r="A45" s="14" t="s">
        <v>45</v>
      </c>
      <c r="B45" s="14" t="s">
        <v>216</v>
      </c>
      <c r="C45" s="14" t="s">
        <v>218</v>
      </c>
      <c r="D45" s="14" t="b">
        <v>0</v>
      </c>
      <c r="E45" s="14"/>
    </row>
    <row r="46" spans="1:5" ht="13.5" customHeight="1" x14ac:dyDescent="0.35">
      <c r="A46" s="14" t="s">
        <v>45</v>
      </c>
      <c r="B46" s="14" t="s">
        <v>219</v>
      </c>
      <c r="C46" s="14" t="s">
        <v>220</v>
      </c>
      <c r="D46" s="14" t="b">
        <v>0</v>
      </c>
      <c r="E46" s="14"/>
    </row>
    <row r="47" spans="1:5" ht="13.5" customHeight="1" x14ac:dyDescent="0.35">
      <c r="A47" s="14" t="s">
        <v>45</v>
      </c>
      <c r="B47" s="14" t="s">
        <v>221</v>
      </c>
      <c r="C47" s="14" t="s">
        <v>222</v>
      </c>
      <c r="D47" s="14" t="b">
        <v>0</v>
      </c>
      <c r="E47" s="14"/>
    </row>
    <row r="48" spans="1:5" ht="13.5" customHeight="1" x14ac:dyDescent="0.35">
      <c r="A48" s="14" t="s">
        <v>45</v>
      </c>
      <c r="B48" s="14" t="s">
        <v>223</v>
      </c>
      <c r="C48" s="14" t="s">
        <v>224</v>
      </c>
      <c r="D48" s="14" t="b">
        <v>0</v>
      </c>
      <c r="E48" s="14"/>
    </row>
    <row r="49" spans="1:5" ht="13.5" customHeight="1" x14ac:dyDescent="0.35">
      <c r="A49" s="14" t="s">
        <v>45</v>
      </c>
      <c r="B49" s="14" t="s">
        <v>225</v>
      </c>
      <c r="C49" s="14" t="s">
        <v>226</v>
      </c>
      <c r="D49" s="14" t="b">
        <v>0</v>
      </c>
      <c r="E49" s="14"/>
    </row>
    <row r="50" spans="1:5" ht="13.5" customHeight="1" x14ac:dyDescent="0.35">
      <c r="A50" s="14" t="s">
        <v>46</v>
      </c>
      <c r="B50" s="14" t="s">
        <v>227</v>
      </c>
      <c r="C50" s="14" t="s">
        <v>228</v>
      </c>
      <c r="D50" s="14" t="b">
        <v>0</v>
      </c>
      <c r="E50" s="14"/>
    </row>
    <row r="51" spans="1:5" ht="13.5" customHeight="1" x14ac:dyDescent="0.35">
      <c r="A51" s="14" t="s">
        <v>46</v>
      </c>
      <c r="B51" s="14" t="s">
        <v>229</v>
      </c>
      <c r="C51" s="14" t="s">
        <v>230</v>
      </c>
      <c r="D51" s="14" t="b">
        <v>0</v>
      </c>
      <c r="E51" s="14"/>
    </row>
    <row r="52" spans="1:5" ht="13.5" customHeight="1" x14ac:dyDescent="0.35">
      <c r="A52" s="14" t="s">
        <v>46</v>
      </c>
      <c r="B52" s="14" t="s">
        <v>231</v>
      </c>
      <c r="C52" s="14" t="s">
        <v>232</v>
      </c>
      <c r="D52" s="14" t="b">
        <v>0</v>
      </c>
      <c r="E52" s="14"/>
    </row>
    <row r="53" spans="1:5" ht="13.5" customHeight="1" x14ac:dyDescent="0.35">
      <c r="A53" s="14" t="s">
        <v>46</v>
      </c>
      <c r="B53" s="14" t="s">
        <v>233</v>
      </c>
      <c r="C53" s="14" t="s">
        <v>234</v>
      </c>
      <c r="D53" s="14" t="b">
        <v>0</v>
      </c>
      <c r="E53" s="14"/>
    </row>
    <row r="54" spans="1:5" ht="13.5" customHeight="1" x14ac:dyDescent="0.35">
      <c r="A54" s="14" t="s">
        <v>46</v>
      </c>
      <c r="B54" s="14" t="s">
        <v>235</v>
      </c>
      <c r="C54" s="14" t="s">
        <v>236</v>
      </c>
      <c r="D54" s="14" t="b">
        <v>0</v>
      </c>
      <c r="E54" s="14"/>
    </row>
    <row r="55" spans="1:5" ht="13.5" customHeight="1" x14ac:dyDescent="0.35">
      <c r="A55" s="14" t="s">
        <v>47</v>
      </c>
      <c r="B55" s="14" t="s">
        <v>237</v>
      </c>
      <c r="C55" s="14" t="s">
        <v>238</v>
      </c>
      <c r="D55" s="14" t="b">
        <v>0</v>
      </c>
      <c r="E55" s="14"/>
    </row>
    <row r="56" spans="1:5" ht="13.5" customHeight="1" x14ac:dyDescent="0.35">
      <c r="A56" s="14" t="s">
        <v>47</v>
      </c>
      <c r="B56" s="14" t="s">
        <v>239</v>
      </c>
      <c r="C56" s="14" t="s">
        <v>240</v>
      </c>
      <c r="D56" s="14" t="b">
        <v>0</v>
      </c>
      <c r="E56" s="14"/>
    </row>
    <row r="57" spans="1:5" ht="13.5" customHeight="1" x14ac:dyDescent="0.35">
      <c r="A57" s="14" t="s">
        <v>47</v>
      </c>
      <c r="B57" s="14" t="s">
        <v>241</v>
      </c>
      <c r="C57" s="14" t="s">
        <v>242</v>
      </c>
      <c r="D57" s="14" t="b">
        <v>0</v>
      </c>
      <c r="E57" s="14"/>
    </row>
    <row r="58" spans="1:5" ht="13.5" customHeight="1" x14ac:dyDescent="0.35">
      <c r="A58" s="14" t="s">
        <v>47</v>
      </c>
      <c r="B58" s="14" t="s">
        <v>243</v>
      </c>
      <c r="C58" s="14" t="s">
        <v>244</v>
      </c>
      <c r="D58" s="14" t="b">
        <v>0</v>
      </c>
      <c r="E58" s="14"/>
    </row>
    <row r="59" spans="1:5" ht="13.5" customHeight="1" x14ac:dyDescent="0.35">
      <c r="A59" s="14" t="s">
        <v>47</v>
      </c>
      <c r="B59" s="14" t="s">
        <v>245</v>
      </c>
      <c r="C59" s="14" t="s">
        <v>246</v>
      </c>
      <c r="D59" s="14" t="b">
        <v>0</v>
      </c>
      <c r="E59" s="14"/>
    </row>
    <row r="60" spans="1:5" ht="13.5" customHeight="1" x14ac:dyDescent="0.35">
      <c r="A60" s="14" t="s">
        <v>109</v>
      </c>
      <c r="B60" s="14" t="s">
        <v>110</v>
      </c>
      <c r="C60" s="14" t="s">
        <v>247</v>
      </c>
      <c r="D60" s="14" t="b">
        <v>0</v>
      </c>
      <c r="E60" s="14"/>
    </row>
    <row r="61" spans="1:5" ht="13.5" customHeight="1" x14ac:dyDescent="0.35">
      <c r="A61" s="14" t="s">
        <v>109</v>
      </c>
      <c r="B61" s="14" t="s">
        <v>110</v>
      </c>
      <c r="C61" s="14" t="s">
        <v>112</v>
      </c>
      <c r="D61" s="14" t="b">
        <v>0</v>
      </c>
      <c r="E61" s="14"/>
    </row>
    <row r="62" spans="1:5" ht="13.5" customHeight="1" x14ac:dyDescent="0.35">
      <c r="A62" s="14" t="s">
        <v>109</v>
      </c>
      <c r="B62" s="14" t="s">
        <v>111</v>
      </c>
      <c r="C62" s="14" t="s">
        <v>248</v>
      </c>
      <c r="D62" s="14" t="b">
        <v>0</v>
      </c>
      <c r="E62" s="14"/>
    </row>
    <row r="63" spans="1:5" ht="13.5" customHeight="1" x14ac:dyDescent="0.35">
      <c r="A63" s="14" t="s">
        <v>109</v>
      </c>
      <c r="B63" s="14" t="s">
        <v>49</v>
      </c>
      <c r="C63" s="14" t="s">
        <v>249</v>
      </c>
      <c r="D63" s="14" t="b">
        <v>0</v>
      </c>
      <c r="E63" s="14"/>
    </row>
    <row r="64" spans="1:5" ht="13.5" customHeight="1" x14ac:dyDescent="0.35">
      <c r="A64" s="14" t="s">
        <v>109</v>
      </c>
      <c r="B64" s="14" t="s">
        <v>113</v>
      </c>
      <c r="C64" s="14" t="s">
        <v>250</v>
      </c>
      <c r="D64" s="14" t="b">
        <v>0</v>
      </c>
      <c r="E64" s="14"/>
    </row>
    <row r="65" spans="1:5" ht="13.5" customHeight="1" x14ac:dyDescent="0.35">
      <c r="A65" s="14" t="s">
        <v>109</v>
      </c>
      <c r="B65" s="14" t="s">
        <v>251</v>
      </c>
      <c r="C65" s="14" t="s">
        <v>48</v>
      </c>
      <c r="D65" s="14" t="b">
        <v>0</v>
      </c>
      <c r="E65" s="14"/>
    </row>
  </sheetData>
  <mergeCells count="2">
    <mergeCell ref="F1:I1"/>
    <mergeCell ref="A1:E1"/>
  </mergeCells>
  <pageMargins left="0.7" right="0.7" top="0.75" bottom="0.75" header="0.3" footer="0.3"/>
  <pageSetup scale="78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defaultSize="0" autoFill="0" autoLine="0" autoPict="0">
                <anchor moveWithCells="1">
                  <from>
                    <xdr:col>3</xdr:col>
                    <xdr:colOff>139700</xdr:colOff>
                    <xdr:row>2</xdr:row>
                    <xdr:rowOff>50800</xdr:rowOff>
                  </from>
                  <to>
                    <xdr:col>4</xdr:col>
                    <xdr:colOff>146050</xdr:colOff>
                    <xdr:row>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Check Box 2">
              <controlPr defaultSize="0" autoFill="0" autoLine="0" autoPict="0">
                <anchor moveWithCells="1">
                  <from>
                    <xdr:col>3</xdr:col>
                    <xdr:colOff>139700</xdr:colOff>
                    <xdr:row>61</xdr:row>
                    <xdr:rowOff>50800</xdr:rowOff>
                  </from>
                  <to>
                    <xdr:col>4</xdr:col>
                    <xdr:colOff>146050</xdr:colOff>
                    <xdr:row>61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Check Box 3">
              <controlPr defaultSize="0" autoFill="0" autoLine="0" autoPict="0">
                <anchor moveWithCells="1">
                  <from>
                    <xdr:col>3</xdr:col>
                    <xdr:colOff>139700</xdr:colOff>
                    <xdr:row>62</xdr:row>
                    <xdr:rowOff>50800</xdr:rowOff>
                  </from>
                  <to>
                    <xdr:col>4</xdr:col>
                    <xdr:colOff>146050</xdr:colOff>
                    <xdr:row>62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Check Box 4">
              <controlPr defaultSize="0" autoFill="0" autoLine="0" autoPict="0">
                <anchor moveWithCells="1">
                  <from>
                    <xdr:col>3</xdr:col>
                    <xdr:colOff>139700</xdr:colOff>
                    <xdr:row>63</xdr:row>
                    <xdr:rowOff>50800</xdr:rowOff>
                  </from>
                  <to>
                    <xdr:col>4</xdr:col>
                    <xdr:colOff>146050</xdr:colOff>
                    <xdr:row>63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Check Box 5">
              <controlPr defaultSize="0" autoFill="0" autoLine="0" autoPict="0">
                <anchor moveWithCells="1">
                  <from>
                    <xdr:col>3</xdr:col>
                    <xdr:colOff>139700</xdr:colOff>
                    <xdr:row>64</xdr:row>
                    <xdr:rowOff>50800</xdr:rowOff>
                  </from>
                  <to>
                    <xdr:col>4</xdr:col>
                    <xdr:colOff>146050</xdr:colOff>
                    <xdr:row>64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Check Box 6">
              <controlPr defaultSize="0" autoFill="0" autoLine="0" autoPict="0">
                <anchor moveWithCells="1">
                  <from>
                    <xdr:col>3</xdr:col>
                    <xdr:colOff>139700</xdr:colOff>
                    <xdr:row>3</xdr:row>
                    <xdr:rowOff>50800</xdr:rowOff>
                  </from>
                  <to>
                    <xdr:col>4</xdr:col>
                    <xdr:colOff>146050</xdr:colOff>
                    <xdr:row>3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Check Box 7">
              <controlPr defaultSize="0" autoFill="0" autoLine="0" autoPict="0">
                <anchor moveWithCells="1">
                  <from>
                    <xdr:col>3</xdr:col>
                    <xdr:colOff>139700</xdr:colOff>
                    <xdr:row>4</xdr:row>
                    <xdr:rowOff>50800</xdr:rowOff>
                  </from>
                  <to>
                    <xdr:col>4</xdr:col>
                    <xdr:colOff>146050</xdr:colOff>
                    <xdr:row>4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1" name="Check Box 8">
              <controlPr defaultSize="0" autoFill="0" autoLine="0" autoPict="0">
                <anchor moveWithCells="1">
                  <from>
                    <xdr:col>3</xdr:col>
                    <xdr:colOff>139700</xdr:colOff>
                    <xdr:row>5</xdr:row>
                    <xdr:rowOff>50800</xdr:rowOff>
                  </from>
                  <to>
                    <xdr:col>4</xdr:col>
                    <xdr:colOff>146050</xdr:colOff>
                    <xdr:row>5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2" name="Check Box 9">
              <controlPr defaultSize="0" autoFill="0" autoLine="0" autoPict="0">
                <anchor moveWithCells="1">
                  <from>
                    <xdr:col>3</xdr:col>
                    <xdr:colOff>139700</xdr:colOff>
                    <xdr:row>6</xdr:row>
                    <xdr:rowOff>50800</xdr:rowOff>
                  </from>
                  <to>
                    <xdr:col>4</xdr:col>
                    <xdr:colOff>146050</xdr:colOff>
                    <xdr:row>6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3" name="Check Box 10">
              <controlPr defaultSize="0" autoFill="0" autoLine="0" autoPict="0">
                <anchor moveWithCells="1">
                  <from>
                    <xdr:col>3</xdr:col>
                    <xdr:colOff>139700</xdr:colOff>
                    <xdr:row>7</xdr:row>
                    <xdr:rowOff>50800</xdr:rowOff>
                  </from>
                  <to>
                    <xdr:col>4</xdr:col>
                    <xdr:colOff>146050</xdr:colOff>
                    <xdr:row>7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4" name="Check Box 11">
              <controlPr defaultSize="0" autoFill="0" autoLine="0" autoPict="0">
                <anchor moveWithCells="1">
                  <from>
                    <xdr:col>3</xdr:col>
                    <xdr:colOff>139700</xdr:colOff>
                    <xdr:row>8</xdr:row>
                    <xdr:rowOff>50800</xdr:rowOff>
                  </from>
                  <to>
                    <xdr:col>4</xdr:col>
                    <xdr:colOff>146050</xdr:colOff>
                    <xdr:row>8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5" name="Check Box 12">
              <controlPr defaultSize="0" autoFill="0" autoLine="0" autoPict="0">
                <anchor moveWithCells="1">
                  <from>
                    <xdr:col>3</xdr:col>
                    <xdr:colOff>139700</xdr:colOff>
                    <xdr:row>9</xdr:row>
                    <xdr:rowOff>50800</xdr:rowOff>
                  </from>
                  <to>
                    <xdr:col>4</xdr:col>
                    <xdr:colOff>146050</xdr:colOff>
                    <xdr:row>9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6" name="Check Box 13">
              <controlPr defaultSize="0" autoFill="0" autoLine="0" autoPict="0">
                <anchor moveWithCells="1">
                  <from>
                    <xdr:col>3</xdr:col>
                    <xdr:colOff>139700</xdr:colOff>
                    <xdr:row>10</xdr:row>
                    <xdr:rowOff>50800</xdr:rowOff>
                  </from>
                  <to>
                    <xdr:col>4</xdr:col>
                    <xdr:colOff>146050</xdr:colOff>
                    <xdr:row>10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7" name="Check Box 14">
              <controlPr defaultSize="0" autoFill="0" autoLine="0" autoPict="0">
                <anchor moveWithCells="1">
                  <from>
                    <xdr:col>3</xdr:col>
                    <xdr:colOff>139700</xdr:colOff>
                    <xdr:row>11</xdr:row>
                    <xdr:rowOff>50800</xdr:rowOff>
                  </from>
                  <to>
                    <xdr:col>4</xdr:col>
                    <xdr:colOff>146050</xdr:colOff>
                    <xdr:row>11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8" name="Check Box 15">
              <controlPr defaultSize="0" autoFill="0" autoLine="0" autoPict="0">
                <anchor moveWithCells="1">
                  <from>
                    <xdr:col>3</xdr:col>
                    <xdr:colOff>139700</xdr:colOff>
                    <xdr:row>12</xdr:row>
                    <xdr:rowOff>50800</xdr:rowOff>
                  </from>
                  <to>
                    <xdr:col>4</xdr:col>
                    <xdr:colOff>146050</xdr:colOff>
                    <xdr:row>12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9" name="Check Box 16">
              <controlPr defaultSize="0" autoFill="0" autoLine="0" autoPict="0">
                <anchor moveWithCells="1">
                  <from>
                    <xdr:col>3</xdr:col>
                    <xdr:colOff>139700</xdr:colOff>
                    <xdr:row>13</xdr:row>
                    <xdr:rowOff>50800</xdr:rowOff>
                  </from>
                  <to>
                    <xdr:col>4</xdr:col>
                    <xdr:colOff>146050</xdr:colOff>
                    <xdr:row>13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20" name="Check Box 17">
              <controlPr defaultSize="0" autoFill="0" autoLine="0" autoPict="0">
                <anchor moveWithCells="1">
                  <from>
                    <xdr:col>3</xdr:col>
                    <xdr:colOff>139700</xdr:colOff>
                    <xdr:row>14</xdr:row>
                    <xdr:rowOff>50800</xdr:rowOff>
                  </from>
                  <to>
                    <xdr:col>4</xdr:col>
                    <xdr:colOff>146050</xdr:colOff>
                    <xdr:row>14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21" name="Check Box 18">
              <controlPr defaultSize="0" autoFill="0" autoLine="0" autoPict="0">
                <anchor moveWithCells="1">
                  <from>
                    <xdr:col>3</xdr:col>
                    <xdr:colOff>139700</xdr:colOff>
                    <xdr:row>15</xdr:row>
                    <xdr:rowOff>50800</xdr:rowOff>
                  </from>
                  <to>
                    <xdr:col>4</xdr:col>
                    <xdr:colOff>146050</xdr:colOff>
                    <xdr:row>15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22" name="Check Box 19">
              <controlPr defaultSize="0" autoFill="0" autoLine="0" autoPict="0">
                <anchor moveWithCells="1">
                  <from>
                    <xdr:col>3</xdr:col>
                    <xdr:colOff>139700</xdr:colOff>
                    <xdr:row>16</xdr:row>
                    <xdr:rowOff>50800</xdr:rowOff>
                  </from>
                  <to>
                    <xdr:col>4</xdr:col>
                    <xdr:colOff>146050</xdr:colOff>
                    <xdr:row>16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23" name="Check Box 20">
              <controlPr defaultSize="0" autoFill="0" autoLine="0" autoPict="0">
                <anchor moveWithCells="1">
                  <from>
                    <xdr:col>3</xdr:col>
                    <xdr:colOff>139700</xdr:colOff>
                    <xdr:row>17</xdr:row>
                    <xdr:rowOff>50800</xdr:rowOff>
                  </from>
                  <to>
                    <xdr:col>4</xdr:col>
                    <xdr:colOff>146050</xdr:colOff>
                    <xdr:row>17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24" name="Check Box 21">
              <controlPr defaultSize="0" autoFill="0" autoLine="0" autoPict="0">
                <anchor moveWithCells="1">
                  <from>
                    <xdr:col>3</xdr:col>
                    <xdr:colOff>139700</xdr:colOff>
                    <xdr:row>18</xdr:row>
                    <xdr:rowOff>50800</xdr:rowOff>
                  </from>
                  <to>
                    <xdr:col>4</xdr:col>
                    <xdr:colOff>146050</xdr:colOff>
                    <xdr:row>18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25" name="Check Box 22">
              <controlPr defaultSize="0" autoFill="0" autoLine="0" autoPict="0">
                <anchor moveWithCells="1">
                  <from>
                    <xdr:col>3</xdr:col>
                    <xdr:colOff>139700</xdr:colOff>
                    <xdr:row>19</xdr:row>
                    <xdr:rowOff>50800</xdr:rowOff>
                  </from>
                  <to>
                    <xdr:col>4</xdr:col>
                    <xdr:colOff>146050</xdr:colOff>
                    <xdr:row>19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26" name="Check Box 23">
              <controlPr defaultSize="0" autoFill="0" autoLine="0" autoPict="0">
                <anchor moveWithCells="1">
                  <from>
                    <xdr:col>3</xdr:col>
                    <xdr:colOff>139700</xdr:colOff>
                    <xdr:row>20</xdr:row>
                    <xdr:rowOff>50800</xdr:rowOff>
                  </from>
                  <to>
                    <xdr:col>4</xdr:col>
                    <xdr:colOff>146050</xdr:colOff>
                    <xdr:row>20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27" name="Check Box 24">
              <controlPr defaultSize="0" autoFill="0" autoLine="0" autoPict="0">
                <anchor moveWithCells="1">
                  <from>
                    <xdr:col>3</xdr:col>
                    <xdr:colOff>139700</xdr:colOff>
                    <xdr:row>21</xdr:row>
                    <xdr:rowOff>50800</xdr:rowOff>
                  </from>
                  <to>
                    <xdr:col>4</xdr:col>
                    <xdr:colOff>146050</xdr:colOff>
                    <xdr:row>21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28" name="Check Box 25">
              <controlPr defaultSize="0" autoFill="0" autoLine="0" autoPict="0">
                <anchor moveWithCells="1">
                  <from>
                    <xdr:col>3</xdr:col>
                    <xdr:colOff>139700</xdr:colOff>
                    <xdr:row>22</xdr:row>
                    <xdr:rowOff>50800</xdr:rowOff>
                  </from>
                  <to>
                    <xdr:col>4</xdr:col>
                    <xdr:colOff>146050</xdr:colOff>
                    <xdr:row>22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29" name="Check Box 26">
              <controlPr defaultSize="0" autoFill="0" autoLine="0" autoPict="0">
                <anchor moveWithCells="1">
                  <from>
                    <xdr:col>3</xdr:col>
                    <xdr:colOff>139700</xdr:colOff>
                    <xdr:row>23</xdr:row>
                    <xdr:rowOff>50800</xdr:rowOff>
                  </from>
                  <to>
                    <xdr:col>4</xdr:col>
                    <xdr:colOff>146050</xdr:colOff>
                    <xdr:row>23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30" name="Check Box 27">
              <controlPr defaultSize="0" autoFill="0" autoLine="0" autoPict="0">
                <anchor moveWithCells="1">
                  <from>
                    <xdr:col>3</xdr:col>
                    <xdr:colOff>139700</xdr:colOff>
                    <xdr:row>24</xdr:row>
                    <xdr:rowOff>50800</xdr:rowOff>
                  </from>
                  <to>
                    <xdr:col>4</xdr:col>
                    <xdr:colOff>146050</xdr:colOff>
                    <xdr:row>24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31" name="Check Box 28">
              <controlPr defaultSize="0" autoFill="0" autoLine="0" autoPict="0">
                <anchor moveWithCells="1">
                  <from>
                    <xdr:col>3</xdr:col>
                    <xdr:colOff>139700</xdr:colOff>
                    <xdr:row>25</xdr:row>
                    <xdr:rowOff>50800</xdr:rowOff>
                  </from>
                  <to>
                    <xdr:col>4</xdr:col>
                    <xdr:colOff>146050</xdr:colOff>
                    <xdr:row>25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32" name="Check Box 29">
              <controlPr defaultSize="0" autoFill="0" autoLine="0" autoPict="0">
                <anchor moveWithCells="1">
                  <from>
                    <xdr:col>3</xdr:col>
                    <xdr:colOff>139700</xdr:colOff>
                    <xdr:row>26</xdr:row>
                    <xdr:rowOff>50800</xdr:rowOff>
                  </from>
                  <to>
                    <xdr:col>4</xdr:col>
                    <xdr:colOff>146050</xdr:colOff>
                    <xdr:row>26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33" name="Check Box 30">
              <controlPr defaultSize="0" autoFill="0" autoLine="0" autoPict="0">
                <anchor moveWithCells="1">
                  <from>
                    <xdr:col>3</xdr:col>
                    <xdr:colOff>139700</xdr:colOff>
                    <xdr:row>27</xdr:row>
                    <xdr:rowOff>50800</xdr:rowOff>
                  </from>
                  <to>
                    <xdr:col>4</xdr:col>
                    <xdr:colOff>146050</xdr:colOff>
                    <xdr:row>27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34" name="Check Box 31">
              <controlPr defaultSize="0" autoFill="0" autoLine="0" autoPict="0">
                <anchor moveWithCells="1">
                  <from>
                    <xdr:col>3</xdr:col>
                    <xdr:colOff>139700</xdr:colOff>
                    <xdr:row>28</xdr:row>
                    <xdr:rowOff>50800</xdr:rowOff>
                  </from>
                  <to>
                    <xdr:col>4</xdr:col>
                    <xdr:colOff>146050</xdr:colOff>
                    <xdr:row>28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35" name="Check Box 32">
              <controlPr defaultSize="0" autoFill="0" autoLine="0" autoPict="0">
                <anchor moveWithCells="1">
                  <from>
                    <xdr:col>3</xdr:col>
                    <xdr:colOff>139700</xdr:colOff>
                    <xdr:row>29</xdr:row>
                    <xdr:rowOff>50800</xdr:rowOff>
                  </from>
                  <to>
                    <xdr:col>4</xdr:col>
                    <xdr:colOff>146050</xdr:colOff>
                    <xdr:row>29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36" name="Check Box 33">
              <controlPr defaultSize="0" autoFill="0" autoLine="0" autoPict="0">
                <anchor moveWithCells="1">
                  <from>
                    <xdr:col>3</xdr:col>
                    <xdr:colOff>139700</xdr:colOff>
                    <xdr:row>30</xdr:row>
                    <xdr:rowOff>50800</xdr:rowOff>
                  </from>
                  <to>
                    <xdr:col>4</xdr:col>
                    <xdr:colOff>146050</xdr:colOff>
                    <xdr:row>30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4" r:id="rId37" name="Check Box 34">
              <controlPr defaultSize="0" autoFill="0" autoLine="0" autoPict="0">
                <anchor moveWithCells="1">
                  <from>
                    <xdr:col>3</xdr:col>
                    <xdr:colOff>139700</xdr:colOff>
                    <xdr:row>31</xdr:row>
                    <xdr:rowOff>50800</xdr:rowOff>
                  </from>
                  <to>
                    <xdr:col>4</xdr:col>
                    <xdr:colOff>146050</xdr:colOff>
                    <xdr:row>31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5" r:id="rId38" name="Check Box 35">
              <controlPr defaultSize="0" autoFill="0" autoLine="0" autoPict="0">
                <anchor moveWithCells="1">
                  <from>
                    <xdr:col>3</xdr:col>
                    <xdr:colOff>139700</xdr:colOff>
                    <xdr:row>32</xdr:row>
                    <xdr:rowOff>50800</xdr:rowOff>
                  </from>
                  <to>
                    <xdr:col>4</xdr:col>
                    <xdr:colOff>146050</xdr:colOff>
                    <xdr:row>32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6" r:id="rId39" name="Check Box 36">
              <controlPr defaultSize="0" autoFill="0" autoLine="0" autoPict="0">
                <anchor moveWithCells="1">
                  <from>
                    <xdr:col>3</xdr:col>
                    <xdr:colOff>139700</xdr:colOff>
                    <xdr:row>33</xdr:row>
                    <xdr:rowOff>50800</xdr:rowOff>
                  </from>
                  <to>
                    <xdr:col>4</xdr:col>
                    <xdr:colOff>146050</xdr:colOff>
                    <xdr:row>33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7" r:id="rId40" name="Check Box 37">
              <controlPr defaultSize="0" autoFill="0" autoLine="0" autoPict="0">
                <anchor moveWithCells="1">
                  <from>
                    <xdr:col>3</xdr:col>
                    <xdr:colOff>139700</xdr:colOff>
                    <xdr:row>34</xdr:row>
                    <xdr:rowOff>50800</xdr:rowOff>
                  </from>
                  <to>
                    <xdr:col>4</xdr:col>
                    <xdr:colOff>146050</xdr:colOff>
                    <xdr:row>34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8" r:id="rId41" name="Check Box 38">
              <controlPr defaultSize="0" autoFill="0" autoLine="0" autoPict="0">
                <anchor moveWithCells="1">
                  <from>
                    <xdr:col>3</xdr:col>
                    <xdr:colOff>139700</xdr:colOff>
                    <xdr:row>35</xdr:row>
                    <xdr:rowOff>50800</xdr:rowOff>
                  </from>
                  <to>
                    <xdr:col>4</xdr:col>
                    <xdr:colOff>146050</xdr:colOff>
                    <xdr:row>35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9" r:id="rId42" name="Check Box 39">
              <controlPr defaultSize="0" autoFill="0" autoLine="0" autoPict="0">
                <anchor moveWithCells="1">
                  <from>
                    <xdr:col>3</xdr:col>
                    <xdr:colOff>139700</xdr:colOff>
                    <xdr:row>36</xdr:row>
                    <xdr:rowOff>50800</xdr:rowOff>
                  </from>
                  <to>
                    <xdr:col>4</xdr:col>
                    <xdr:colOff>146050</xdr:colOff>
                    <xdr:row>36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0" r:id="rId43" name="Check Box 40">
              <controlPr defaultSize="0" autoFill="0" autoLine="0" autoPict="0">
                <anchor moveWithCells="1">
                  <from>
                    <xdr:col>3</xdr:col>
                    <xdr:colOff>139700</xdr:colOff>
                    <xdr:row>37</xdr:row>
                    <xdr:rowOff>50800</xdr:rowOff>
                  </from>
                  <to>
                    <xdr:col>4</xdr:col>
                    <xdr:colOff>146050</xdr:colOff>
                    <xdr:row>37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1" r:id="rId44" name="Check Box 41">
              <controlPr defaultSize="0" autoFill="0" autoLine="0" autoPict="0">
                <anchor moveWithCells="1">
                  <from>
                    <xdr:col>3</xdr:col>
                    <xdr:colOff>139700</xdr:colOff>
                    <xdr:row>38</xdr:row>
                    <xdr:rowOff>50800</xdr:rowOff>
                  </from>
                  <to>
                    <xdr:col>4</xdr:col>
                    <xdr:colOff>146050</xdr:colOff>
                    <xdr:row>38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2" r:id="rId45" name="Check Box 42">
              <controlPr defaultSize="0" autoFill="0" autoLine="0" autoPict="0">
                <anchor moveWithCells="1">
                  <from>
                    <xdr:col>3</xdr:col>
                    <xdr:colOff>139700</xdr:colOff>
                    <xdr:row>39</xdr:row>
                    <xdr:rowOff>50800</xdr:rowOff>
                  </from>
                  <to>
                    <xdr:col>4</xdr:col>
                    <xdr:colOff>146050</xdr:colOff>
                    <xdr:row>39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3" r:id="rId46" name="Check Box 43">
              <controlPr defaultSize="0" autoFill="0" autoLine="0" autoPict="0">
                <anchor moveWithCells="1">
                  <from>
                    <xdr:col>3</xdr:col>
                    <xdr:colOff>139700</xdr:colOff>
                    <xdr:row>40</xdr:row>
                    <xdr:rowOff>50800</xdr:rowOff>
                  </from>
                  <to>
                    <xdr:col>4</xdr:col>
                    <xdr:colOff>146050</xdr:colOff>
                    <xdr:row>40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4" r:id="rId47" name="Check Box 44">
              <controlPr defaultSize="0" autoFill="0" autoLine="0" autoPict="0">
                <anchor moveWithCells="1">
                  <from>
                    <xdr:col>3</xdr:col>
                    <xdr:colOff>139700</xdr:colOff>
                    <xdr:row>41</xdr:row>
                    <xdr:rowOff>50800</xdr:rowOff>
                  </from>
                  <to>
                    <xdr:col>4</xdr:col>
                    <xdr:colOff>146050</xdr:colOff>
                    <xdr:row>41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5" r:id="rId48" name="Check Box 45">
              <controlPr defaultSize="0" autoFill="0" autoLine="0" autoPict="0">
                <anchor moveWithCells="1">
                  <from>
                    <xdr:col>3</xdr:col>
                    <xdr:colOff>139700</xdr:colOff>
                    <xdr:row>42</xdr:row>
                    <xdr:rowOff>50800</xdr:rowOff>
                  </from>
                  <to>
                    <xdr:col>4</xdr:col>
                    <xdr:colOff>146050</xdr:colOff>
                    <xdr:row>42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6" r:id="rId49" name="Check Box 46">
              <controlPr defaultSize="0" autoFill="0" autoLine="0" autoPict="0">
                <anchor moveWithCells="1">
                  <from>
                    <xdr:col>3</xdr:col>
                    <xdr:colOff>139700</xdr:colOff>
                    <xdr:row>43</xdr:row>
                    <xdr:rowOff>50800</xdr:rowOff>
                  </from>
                  <to>
                    <xdr:col>4</xdr:col>
                    <xdr:colOff>146050</xdr:colOff>
                    <xdr:row>43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7" r:id="rId50" name="Check Box 47">
              <controlPr defaultSize="0" autoFill="0" autoLine="0" autoPict="0">
                <anchor moveWithCells="1">
                  <from>
                    <xdr:col>3</xdr:col>
                    <xdr:colOff>139700</xdr:colOff>
                    <xdr:row>44</xdr:row>
                    <xdr:rowOff>50800</xdr:rowOff>
                  </from>
                  <to>
                    <xdr:col>4</xdr:col>
                    <xdr:colOff>146050</xdr:colOff>
                    <xdr:row>44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8" r:id="rId51" name="Check Box 48">
              <controlPr defaultSize="0" autoFill="0" autoLine="0" autoPict="0">
                <anchor moveWithCells="1">
                  <from>
                    <xdr:col>3</xdr:col>
                    <xdr:colOff>139700</xdr:colOff>
                    <xdr:row>45</xdr:row>
                    <xdr:rowOff>50800</xdr:rowOff>
                  </from>
                  <to>
                    <xdr:col>4</xdr:col>
                    <xdr:colOff>146050</xdr:colOff>
                    <xdr:row>45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9" r:id="rId52" name="Check Box 49">
              <controlPr defaultSize="0" autoFill="0" autoLine="0" autoPict="0">
                <anchor moveWithCells="1">
                  <from>
                    <xdr:col>3</xdr:col>
                    <xdr:colOff>139700</xdr:colOff>
                    <xdr:row>46</xdr:row>
                    <xdr:rowOff>50800</xdr:rowOff>
                  </from>
                  <to>
                    <xdr:col>4</xdr:col>
                    <xdr:colOff>146050</xdr:colOff>
                    <xdr:row>46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0" r:id="rId53" name="Check Box 50">
              <controlPr defaultSize="0" autoFill="0" autoLine="0" autoPict="0">
                <anchor moveWithCells="1">
                  <from>
                    <xdr:col>3</xdr:col>
                    <xdr:colOff>139700</xdr:colOff>
                    <xdr:row>47</xdr:row>
                    <xdr:rowOff>50800</xdr:rowOff>
                  </from>
                  <to>
                    <xdr:col>4</xdr:col>
                    <xdr:colOff>146050</xdr:colOff>
                    <xdr:row>47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1" r:id="rId54" name="Check Box 51">
              <controlPr defaultSize="0" autoFill="0" autoLine="0" autoPict="0">
                <anchor moveWithCells="1">
                  <from>
                    <xdr:col>3</xdr:col>
                    <xdr:colOff>139700</xdr:colOff>
                    <xdr:row>48</xdr:row>
                    <xdr:rowOff>50800</xdr:rowOff>
                  </from>
                  <to>
                    <xdr:col>4</xdr:col>
                    <xdr:colOff>146050</xdr:colOff>
                    <xdr:row>48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2" r:id="rId55" name="Check Box 52">
              <controlPr defaultSize="0" autoFill="0" autoLine="0" autoPict="0">
                <anchor moveWithCells="1">
                  <from>
                    <xdr:col>3</xdr:col>
                    <xdr:colOff>139700</xdr:colOff>
                    <xdr:row>49</xdr:row>
                    <xdr:rowOff>50800</xdr:rowOff>
                  </from>
                  <to>
                    <xdr:col>4</xdr:col>
                    <xdr:colOff>146050</xdr:colOff>
                    <xdr:row>49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3" r:id="rId56" name="Check Box 53">
              <controlPr defaultSize="0" autoFill="0" autoLine="0" autoPict="0">
                <anchor moveWithCells="1">
                  <from>
                    <xdr:col>3</xdr:col>
                    <xdr:colOff>139700</xdr:colOff>
                    <xdr:row>50</xdr:row>
                    <xdr:rowOff>50800</xdr:rowOff>
                  </from>
                  <to>
                    <xdr:col>4</xdr:col>
                    <xdr:colOff>146050</xdr:colOff>
                    <xdr:row>50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4" r:id="rId57" name="Check Box 54">
              <controlPr defaultSize="0" autoFill="0" autoLine="0" autoPict="0">
                <anchor moveWithCells="1">
                  <from>
                    <xdr:col>3</xdr:col>
                    <xdr:colOff>139700</xdr:colOff>
                    <xdr:row>51</xdr:row>
                    <xdr:rowOff>50800</xdr:rowOff>
                  </from>
                  <to>
                    <xdr:col>4</xdr:col>
                    <xdr:colOff>146050</xdr:colOff>
                    <xdr:row>51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5" r:id="rId58" name="Check Box 55">
              <controlPr defaultSize="0" autoFill="0" autoLine="0" autoPict="0">
                <anchor moveWithCells="1">
                  <from>
                    <xdr:col>3</xdr:col>
                    <xdr:colOff>139700</xdr:colOff>
                    <xdr:row>52</xdr:row>
                    <xdr:rowOff>50800</xdr:rowOff>
                  </from>
                  <to>
                    <xdr:col>4</xdr:col>
                    <xdr:colOff>146050</xdr:colOff>
                    <xdr:row>52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6" r:id="rId59" name="Check Box 56">
              <controlPr defaultSize="0" autoFill="0" autoLine="0" autoPict="0">
                <anchor moveWithCells="1">
                  <from>
                    <xdr:col>3</xdr:col>
                    <xdr:colOff>139700</xdr:colOff>
                    <xdr:row>53</xdr:row>
                    <xdr:rowOff>50800</xdr:rowOff>
                  </from>
                  <to>
                    <xdr:col>4</xdr:col>
                    <xdr:colOff>146050</xdr:colOff>
                    <xdr:row>53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7" r:id="rId60" name="Check Box 57">
              <controlPr defaultSize="0" autoFill="0" autoLine="0" autoPict="0">
                <anchor moveWithCells="1">
                  <from>
                    <xdr:col>3</xdr:col>
                    <xdr:colOff>139700</xdr:colOff>
                    <xdr:row>54</xdr:row>
                    <xdr:rowOff>50800</xdr:rowOff>
                  </from>
                  <to>
                    <xdr:col>4</xdr:col>
                    <xdr:colOff>146050</xdr:colOff>
                    <xdr:row>54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8" r:id="rId61" name="Check Box 58">
              <controlPr defaultSize="0" autoFill="0" autoLine="0" autoPict="0">
                <anchor moveWithCells="1">
                  <from>
                    <xdr:col>3</xdr:col>
                    <xdr:colOff>139700</xdr:colOff>
                    <xdr:row>55</xdr:row>
                    <xdr:rowOff>50800</xdr:rowOff>
                  </from>
                  <to>
                    <xdr:col>4</xdr:col>
                    <xdr:colOff>146050</xdr:colOff>
                    <xdr:row>55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9" r:id="rId62" name="Check Box 59">
              <controlPr defaultSize="0" autoFill="0" autoLine="0" autoPict="0">
                <anchor moveWithCells="1">
                  <from>
                    <xdr:col>3</xdr:col>
                    <xdr:colOff>139700</xdr:colOff>
                    <xdr:row>56</xdr:row>
                    <xdr:rowOff>50800</xdr:rowOff>
                  </from>
                  <to>
                    <xdr:col>4</xdr:col>
                    <xdr:colOff>146050</xdr:colOff>
                    <xdr:row>56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0" r:id="rId63" name="Check Box 60">
              <controlPr defaultSize="0" autoFill="0" autoLine="0" autoPict="0">
                <anchor moveWithCells="1">
                  <from>
                    <xdr:col>3</xdr:col>
                    <xdr:colOff>139700</xdr:colOff>
                    <xdr:row>57</xdr:row>
                    <xdr:rowOff>50800</xdr:rowOff>
                  </from>
                  <to>
                    <xdr:col>4</xdr:col>
                    <xdr:colOff>146050</xdr:colOff>
                    <xdr:row>57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1" r:id="rId64" name="Check Box 61">
              <controlPr defaultSize="0" autoFill="0" autoLine="0" autoPict="0">
                <anchor moveWithCells="1">
                  <from>
                    <xdr:col>3</xdr:col>
                    <xdr:colOff>139700</xdr:colOff>
                    <xdr:row>58</xdr:row>
                    <xdr:rowOff>50800</xdr:rowOff>
                  </from>
                  <to>
                    <xdr:col>4</xdr:col>
                    <xdr:colOff>146050</xdr:colOff>
                    <xdr:row>58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2" r:id="rId65" name="Check Box 62">
              <controlPr defaultSize="0" autoFill="0" autoLine="0" autoPict="0">
                <anchor moveWithCells="1">
                  <from>
                    <xdr:col>3</xdr:col>
                    <xdr:colOff>139700</xdr:colOff>
                    <xdr:row>59</xdr:row>
                    <xdr:rowOff>50800</xdr:rowOff>
                  </from>
                  <to>
                    <xdr:col>4</xdr:col>
                    <xdr:colOff>146050</xdr:colOff>
                    <xdr:row>59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5" r:id="rId66" name="Check Box 125">
              <controlPr defaultSize="0" autoFill="0" autoLine="0" autoPict="0">
                <anchor moveWithCells="1">
                  <from>
                    <xdr:col>3</xdr:col>
                    <xdr:colOff>139700</xdr:colOff>
                    <xdr:row>3</xdr:row>
                    <xdr:rowOff>50800</xdr:rowOff>
                  </from>
                  <to>
                    <xdr:col>4</xdr:col>
                    <xdr:colOff>146050</xdr:colOff>
                    <xdr:row>3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6" r:id="rId67" name="Check Box 126">
              <controlPr defaultSize="0" autoFill="0" autoLine="0" autoPict="0">
                <anchor moveWithCells="1">
                  <from>
                    <xdr:col>3</xdr:col>
                    <xdr:colOff>139700</xdr:colOff>
                    <xdr:row>4</xdr:row>
                    <xdr:rowOff>50800</xdr:rowOff>
                  </from>
                  <to>
                    <xdr:col>4</xdr:col>
                    <xdr:colOff>146050</xdr:colOff>
                    <xdr:row>4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7" r:id="rId68" name="Check Box 127">
              <controlPr defaultSize="0" autoFill="0" autoLine="0" autoPict="0">
                <anchor moveWithCells="1">
                  <from>
                    <xdr:col>3</xdr:col>
                    <xdr:colOff>139700</xdr:colOff>
                    <xdr:row>5</xdr:row>
                    <xdr:rowOff>50800</xdr:rowOff>
                  </from>
                  <to>
                    <xdr:col>4</xdr:col>
                    <xdr:colOff>146050</xdr:colOff>
                    <xdr:row>5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8" r:id="rId69" name="Check Box 128">
              <controlPr defaultSize="0" autoFill="0" autoLine="0" autoPict="0">
                <anchor moveWithCells="1">
                  <from>
                    <xdr:col>3</xdr:col>
                    <xdr:colOff>139700</xdr:colOff>
                    <xdr:row>6</xdr:row>
                    <xdr:rowOff>50800</xdr:rowOff>
                  </from>
                  <to>
                    <xdr:col>4</xdr:col>
                    <xdr:colOff>146050</xdr:colOff>
                    <xdr:row>6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9" r:id="rId70" name="Check Box 129">
              <controlPr defaultSize="0" autoFill="0" autoLine="0" autoPict="0">
                <anchor moveWithCells="1">
                  <from>
                    <xdr:col>3</xdr:col>
                    <xdr:colOff>139700</xdr:colOff>
                    <xdr:row>7</xdr:row>
                    <xdr:rowOff>50800</xdr:rowOff>
                  </from>
                  <to>
                    <xdr:col>4</xdr:col>
                    <xdr:colOff>146050</xdr:colOff>
                    <xdr:row>7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0" r:id="rId71" name="Check Box 130">
              <controlPr defaultSize="0" autoFill="0" autoLine="0" autoPict="0">
                <anchor moveWithCells="1">
                  <from>
                    <xdr:col>3</xdr:col>
                    <xdr:colOff>139700</xdr:colOff>
                    <xdr:row>8</xdr:row>
                    <xdr:rowOff>50800</xdr:rowOff>
                  </from>
                  <to>
                    <xdr:col>4</xdr:col>
                    <xdr:colOff>146050</xdr:colOff>
                    <xdr:row>8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1" r:id="rId72" name="Check Box 131">
              <controlPr defaultSize="0" autoFill="0" autoLine="0" autoPict="0">
                <anchor moveWithCells="1">
                  <from>
                    <xdr:col>3</xdr:col>
                    <xdr:colOff>139700</xdr:colOff>
                    <xdr:row>9</xdr:row>
                    <xdr:rowOff>50800</xdr:rowOff>
                  </from>
                  <to>
                    <xdr:col>4</xdr:col>
                    <xdr:colOff>146050</xdr:colOff>
                    <xdr:row>9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2" r:id="rId73" name="Check Box 132">
              <controlPr defaultSize="0" autoFill="0" autoLine="0" autoPict="0">
                <anchor moveWithCells="1">
                  <from>
                    <xdr:col>3</xdr:col>
                    <xdr:colOff>139700</xdr:colOff>
                    <xdr:row>10</xdr:row>
                    <xdr:rowOff>50800</xdr:rowOff>
                  </from>
                  <to>
                    <xdr:col>4</xdr:col>
                    <xdr:colOff>146050</xdr:colOff>
                    <xdr:row>10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3" r:id="rId74" name="Check Box 133">
              <controlPr defaultSize="0" autoFill="0" autoLine="0" autoPict="0">
                <anchor moveWithCells="1">
                  <from>
                    <xdr:col>3</xdr:col>
                    <xdr:colOff>139700</xdr:colOff>
                    <xdr:row>11</xdr:row>
                    <xdr:rowOff>50800</xdr:rowOff>
                  </from>
                  <to>
                    <xdr:col>4</xdr:col>
                    <xdr:colOff>146050</xdr:colOff>
                    <xdr:row>11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4" r:id="rId75" name="Check Box 134">
              <controlPr defaultSize="0" autoFill="0" autoLine="0" autoPict="0">
                <anchor moveWithCells="1">
                  <from>
                    <xdr:col>3</xdr:col>
                    <xdr:colOff>139700</xdr:colOff>
                    <xdr:row>12</xdr:row>
                    <xdr:rowOff>50800</xdr:rowOff>
                  </from>
                  <to>
                    <xdr:col>4</xdr:col>
                    <xdr:colOff>146050</xdr:colOff>
                    <xdr:row>12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5" r:id="rId76" name="Check Box 135">
              <controlPr defaultSize="0" autoFill="0" autoLine="0" autoPict="0">
                <anchor moveWithCells="1">
                  <from>
                    <xdr:col>3</xdr:col>
                    <xdr:colOff>139700</xdr:colOff>
                    <xdr:row>13</xdr:row>
                    <xdr:rowOff>50800</xdr:rowOff>
                  </from>
                  <to>
                    <xdr:col>4</xdr:col>
                    <xdr:colOff>146050</xdr:colOff>
                    <xdr:row>13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6" r:id="rId77" name="Check Box 136">
              <controlPr defaultSize="0" autoFill="0" autoLine="0" autoPict="0">
                <anchor moveWithCells="1">
                  <from>
                    <xdr:col>3</xdr:col>
                    <xdr:colOff>139700</xdr:colOff>
                    <xdr:row>14</xdr:row>
                    <xdr:rowOff>50800</xdr:rowOff>
                  </from>
                  <to>
                    <xdr:col>4</xdr:col>
                    <xdr:colOff>146050</xdr:colOff>
                    <xdr:row>14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7" r:id="rId78" name="Check Box 137">
              <controlPr defaultSize="0" autoFill="0" autoLine="0" autoPict="0">
                <anchor moveWithCells="1">
                  <from>
                    <xdr:col>3</xdr:col>
                    <xdr:colOff>139700</xdr:colOff>
                    <xdr:row>15</xdr:row>
                    <xdr:rowOff>50800</xdr:rowOff>
                  </from>
                  <to>
                    <xdr:col>4</xdr:col>
                    <xdr:colOff>146050</xdr:colOff>
                    <xdr:row>15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8" r:id="rId79" name="Check Box 138">
              <controlPr defaultSize="0" autoFill="0" autoLine="0" autoPict="0">
                <anchor moveWithCells="1">
                  <from>
                    <xdr:col>3</xdr:col>
                    <xdr:colOff>139700</xdr:colOff>
                    <xdr:row>16</xdr:row>
                    <xdr:rowOff>50800</xdr:rowOff>
                  </from>
                  <to>
                    <xdr:col>4</xdr:col>
                    <xdr:colOff>146050</xdr:colOff>
                    <xdr:row>16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9" r:id="rId80" name="Check Box 139">
              <controlPr defaultSize="0" autoFill="0" autoLine="0" autoPict="0">
                <anchor moveWithCells="1">
                  <from>
                    <xdr:col>3</xdr:col>
                    <xdr:colOff>139700</xdr:colOff>
                    <xdr:row>17</xdr:row>
                    <xdr:rowOff>50800</xdr:rowOff>
                  </from>
                  <to>
                    <xdr:col>4</xdr:col>
                    <xdr:colOff>146050</xdr:colOff>
                    <xdr:row>17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0" r:id="rId81" name="Check Box 140">
              <controlPr defaultSize="0" autoFill="0" autoLine="0" autoPict="0">
                <anchor moveWithCells="1">
                  <from>
                    <xdr:col>3</xdr:col>
                    <xdr:colOff>139700</xdr:colOff>
                    <xdr:row>18</xdr:row>
                    <xdr:rowOff>50800</xdr:rowOff>
                  </from>
                  <to>
                    <xdr:col>4</xdr:col>
                    <xdr:colOff>146050</xdr:colOff>
                    <xdr:row>18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1" r:id="rId82" name="Check Box 141">
              <controlPr defaultSize="0" autoFill="0" autoLine="0" autoPict="0">
                <anchor moveWithCells="1">
                  <from>
                    <xdr:col>3</xdr:col>
                    <xdr:colOff>139700</xdr:colOff>
                    <xdr:row>19</xdr:row>
                    <xdr:rowOff>50800</xdr:rowOff>
                  </from>
                  <to>
                    <xdr:col>4</xdr:col>
                    <xdr:colOff>146050</xdr:colOff>
                    <xdr:row>19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2" r:id="rId83" name="Check Box 142">
              <controlPr defaultSize="0" autoFill="0" autoLine="0" autoPict="0">
                <anchor moveWithCells="1">
                  <from>
                    <xdr:col>3</xdr:col>
                    <xdr:colOff>139700</xdr:colOff>
                    <xdr:row>20</xdr:row>
                    <xdr:rowOff>50800</xdr:rowOff>
                  </from>
                  <to>
                    <xdr:col>4</xdr:col>
                    <xdr:colOff>146050</xdr:colOff>
                    <xdr:row>20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3" r:id="rId84" name="Check Box 143">
              <controlPr defaultSize="0" autoFill="0" autoLine="0" autoPict="0">
                <anchor moveWithCells="1">
                  <from>
                    <xdr:col>3</xdr:col>
                    <xdr:colOff>139700</xdr:colOff>
                    <xdr:row>21</xdr:row>
                    <xdr:rowOff>50800</xdr:rowOff>
                  </from>
                  <to>
                    <xdr:col>4</xdr:col>
                    <xdr:colOff>146050</xdr:colOff>
                    <xdr:row>21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4" r:id="rId85" name="Check Box 144">
              <controlPr defaultSize="0" autoFill="0" autoLine="0" autoPict="0">
                <anchor moveWithCells="1">
                  <from>
                    <xdr:col>3</xdr:col>
                    <xdr:colOff>139700</xdr:colOff>
                    <xdr:row>22</xdr:row>
                    <xdr:rowOff>50800</xdr:rowOff>
                  </from>
                  <to>
                    <xdr:col>4</xdr:col>
                    <xdr:colOff>146050</xdr:colOff>
                    <xdr:row>22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5" r:id="rId86" name="Check Box 145">
              <controlPr defaultSize="0" autoFill="0" autoLine="0" autoPict="0">
                <anchor moveWithCells="1">
                  <from>
                    <xdr:col>3</xdr:col>
                    <xdr:colOff>139700</xdr:colOff>
                    <xdr:row>23</xdr:row>
                    <xdr:rowOff>50800</xdr:rowOff>
                  </from>
                  <to>
                    <xdr:col>4</xdr:col>
                    <xdr:colOff>146050</xdr:colOff>
                    <xdr:row>23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6" r:id="rId87" name="Check Box 146">
              <controlPr defaultSize="0" autoFill="0" autoLine="0" autoPict="0">
                <anchor moveWithCells="1">
                  <from>
                    <xdr:col>3</xdr:col>
                    <xdr:colOff>139700</xdr:colOff>
                    <xdr:row>24</xdr:row>
                    <xdr:rowOff>50800</xdr:rowOff>
                  </from>
                  <to>
                    <xdr:col>4</xdr:col>
                    <xdr:colOff>146050</xdr:colOff>
                    <xdr:row>24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7" r:id="rId88" name="Check Box 147">
              <controlPr defaultSize="0" autoFill="0" autoLine="0" autoPict="0">
                <anchor moveWithCells="1">
                  <from>
                    <xdr:col>3</xdr:col>
                    <xdr:colOff>139700</xdr:colOff>
                    <xdr:row>25</xdr:row>
                    <xdr:rowOff>50800</xdr:rowOff>
                  </from>
                  <to>
                    <xdr:col>4</xdr:col>
                    <xdr:colOff>146050</xdr:colOff>
                    <xdr:row>25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8" r:id="rId89" name="Check Box 148">
              <controlPr defaultSize="0" autoFill="0" autoLine="0" autoPict="0">
                <anchor moveWithCells="1">
                  <from>
                    <xdr:col>3</xdr:col>
                    <xdr:colOff>139700</xdr:colOff>
                    <xdr:row>26</xdr:row>
                    <xdr:rowOff>50800</xdr:rowOff>
                  </from>
                  <to>
                    <xdr:col>4</xdr:col>
                    <xdr:colOff>146050</xdr:colOff>
                    <xdr:row>26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9" r:id="rId90" name="Check Box 149">
              <controlPr defaultSize="0" autoFill="0" autoLine="0" autoPict="0">
                <anchor moveWithCells="1">
                  <from>
                    <xdr:col>3</xdr:col>
                    <xdr:colOff>139700</xdr:colOff>
                    <xdr:row>27</xdr:row>
                    <xdr:rowOff>50800</xdr:rowOff>
                  </from>
                  <to>
                    <xdr:col>4</xdr:col>
                    <xdr:colOff>146050</xdr:colOff>
                    <xdr:row>27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0" r:id="rId91" name="Check Box 150">
              <controlPr defaultSize="0" autoFill="0" autoLine="0" autoPict="0">
                <anchor moveWithCells="1">
                  <from>
                    <xdr:col>3</xdr:col>
                    <xdr:colOff>139700</xdr:colOff>
                    <xdr:row>28</xdr:row>
                    <xdr:rowOff>50800</xdr:rowOff>
                  </from>
                  <to>
                    <xdr:col>4</xdr:col>
                    <xdr:colOff>146050</xdr:colOff>
                    <xdr:row>28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1" r:id="rId92" name="Check Box 151">
              <controlPr defaultSize="0" autoFill="0" autoLine="0" autoPict="0">
                <anchor moveWithCells="1">
                  <from>
                    <xdr:col>3</xdr:col>
                    <xdr:colOff>139700</xdr:colOff>
                    <xdr:row>29</xdr:row>
                    <xdr:rowOff>50800</xdr:rowOff>
                  </from>
                  <to>
                    <xdr:col>4</xdr:col>
                    <xdr:colOff>146050</xdr:colOff>
                    <xdr:row>29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2" r:id="rId93" name="Check Box 152">
              <controlPr defaultSize="0" autoFill="0" autoLine="0" autoPict="0">
                <anchor moveWithCells="1">
                  <from>
                    <xdr:col>3</xdr:col>
                    <xdr:colOff>139700</xdr:colOff>
                    <xdr:row>30</xdr:row>
                    <xdr:rowOff>50800</xdr:rowOff>
                  </from>
                  <to>
                    <xdr:col>4</xdr:col>
                    <xdr:colOff>146050</xdr:colOff>
                    <xdr:row>30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3" r:id="rId94" name="Check Box 153">
              <controlPr defaultSize="0" autoFill="0" autoLine="0" autoPict="0">
                <anchor moveWithCells="1">
                  <from>
                    <xdr:col>3</xdr:col>
                    <xdr:colOff>139700</xdr:colOff>
                    <xdr:row>31</xdr:row>
                    <xdr:rowOff>50800</xdr:rowOff>
                  </from>
                  <to>
                    <xdr:col>4</xdr:col>
                    <xdr:colOff>146050</xdr:colOff>
                    <xdr:row>31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4" r:id="rId95" name="Check Box 154">
              <controlPr defaultSize="0" autoFill="0" autoLine="0" autoPict="0">
                <anchor moveWithCells="1">
                  <from>
                    <xdr:col>3</xdr:col>
                    <xdr:colOff>139700</xdr:colOff>
                    <xdr:row>32</xdr:row>
                    <xdr:rowOff>50800</xdr:rowOff>
                  </from>
                  <to>
                    <xdr:col>4</xdr:col>
                    <xdr:colOff>146050</xdr:colOff>
                    <xdr:row>32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5" r:id="rId96" name="Check Box 155">
              <controlPr defaultSize="0" autoFill="0" autoLine="0" autoPict="0">
                <anchor moveWithCells="1">
                  <from>
                    <xdr:col>3</xdr:col>
                    <xdr:colOff>139700</xdr:colOff>
                    <xdr:row>33</xdr:row>
                    <xdr:rowOff>50800</xdr:rowOff>
                  </from>
                  <to>
                    <xdr:col>4</xdr:col>
                    <xdr:colOff>146050</xdr:colOff>
                    <xdr:row>33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6" r:id="rId97" name="Check Box 156">
              <controlPr defaultSize="0" autoFill="0" autoLine="0" autoPict="0">
                <anchor moveWithCells="1">
                  <from>
                    <xdr:col>3</xdr:col>
                    <xdr:colOff>139700</xdr:colOff>
                    <xdr:row>34</xdr:row>
                    <xdr:rowOff>50800</xdr:rowOff>
                  </from>
                  <to>
                    <xdr:col>4</xdr:col>
                    <xdr:colOff>146050</xdr:colOff>
                    <xdr:row>34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7" r:id="rId98" name="Check Box 157">
              <controlPr defaultSize="0" autoFill="0" autoLine="0" autoPict="0">
                <anchor moveWithCells="1">
                  <from>
                    <xdr:col>3</xdr:col>
                    <xdr:colOff>139700</xdr:colOff>
                    <xdr:row>35</xdr:row>
                    <xdr:rowOff>50800</xdr:rowOff>
                  </from>
                  <to>
                    <xdr:col>4</xdr:col>
                    <xdr:colOff>146050</xdr:colOff>
                    <xdr:row>35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8" r:id="rId99" name="Check Box 158">
              <controlPr defaultSize="0" autoFill="0" autoLine="0" autoPict="0">
                <anchor moveWithCells="1">
                  <from>
                    <xdr:col>3</xdr:col>
                    <xdr:colOff>139700</xdr:colOff>
                    <xdr:row>36</xdr:row>
                    <xdr:rowOff>50800</xdr:rowOff>
                  </from>
                  <to>
                    <xdr:col>4</xdr:col>
                    <xdr:colOff>146050</xdr:colOff>
                    <xdr:row>36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9" r:id="rId100" name="Check Box 159">
              <controlPr defaultSize="0" autoFill="0" autoLine="0" autoPict="0">
                <anchor moveWithCells="1">
                  <from>
                    <xdr:col>3</xdr:col>
                    <xdr:colOff>139700</xdr:colOff>
                    <xdr:row>37</xdr:row>
                    <xdr:rowOff>50800</xdr:rowOff>
                  </from>
                  <to>
                    <xdr:col>4</xdr:col>
                    <xdr:colOff>146050</xdr:colOff>
                    <xdr:row>37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0" r:id="rId101" name="Check Box 160">
              <controlPr defaultSize="0" autoFill="0" autoLine="0" autoPict="0">
                <anchor moveWithCells="1">
                  <from>
                    <xdr:col>3</xdr:col>
                    <xdr:colOff>139700</xdr:colOff>
                    <xdr:row>38</xdr:row>
                    <xdr:rowOff>50800</xdr:rowOff>
                  </from>
                  <to>
                    <xdr:col>4</xdr:col>
                    <xdr:colOff>146050</xdr:colOff>
                    <xdr:row>38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1" r:id="rId102" name="Check Box 161">
              <controlPr defaultSize="0" autoFill="0" autoLine="0" autoPict="0">
                <anchor moveWithCells="1">
                  <from>
                    <xdr:col>3</xdr:col>
                    <xdr:colOff>139700</xdr:colOff>
                    <xdr:row>39</xdr:row>
                    <xdr:rowOff>50800</xdr:rowOff>
                  </from>
                  <to>
                    <xdr:col>4</xdr:col>
                    <xdr:colOff>146050</xdr:colOff>
                    <xdr:row>39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2" r:id="rId103" name="Check Box 162">
              <controlPr defaultSize="0" autoFill="0" autoLine="0" autoPict="0">
                <anchor moveWithCells="1">
                  <from>
                    <xdr:col>3</xdr:col>
                    <xdr:colOff>139700</xdr:colOff>
                    <xdr:row>40</xdr:row>
                    <xdr:rowOff>50800</xdr:rowOff>
                  </from>
                  <to>
                    <xdr:col>4</xdr:col>
                    <xdr:colOff>146050</xdr:colOff>
                    <xdr:row>40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3" r:id="rId104" name="Check Box 163">
              <controlPr defaultSize="0" autoFill="0" autoLine="0" autoPict="0">
                <anchor moveWithCells="1">
                  <from>
                    <xdr:col>3</xdr:col>
                    <xdr:colOff>139700</xdr:colOff>
                    <xdr:row>41</xdr:row>
                    <xdr:rowOff>50800</xdr:rowOff>
                  </from>
                  <to>
                    <xdr:col>4</xdr:col>
                    <xdr:colOff>146050</xdr:colOff>
                    <xdr:row>41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4" r:id="rId105" name="Check Box 164">
              <controlPr defaultSize="0" autoFill="0" autoLine="0" autoPict="0">
                <anchor moveWithCells="1">
                  <from>
                    <xdr:col>3</xdr:col>
                    <xdr:colOff>139700</xdr:colOff>
                    <xdr:row>42</xdr:row>
                    <xdr:rowOff>50800</xdr:rowOff>
                  </from>
                  <to>
                    <xdr:col>4</xdr:col>
                    <xdr:colOff>146050</xdr:colOff>
                    <xdr:row>42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5" r:id="rId106" name="Check Box 165">
              <controlPr defaultSize="0" autoFill="0" autoLine="0" autoPict="0">
                <anchor moveWithCells="1">
                  <from>
                    <xdr:col>3</xdr:col>
                    <xdr:colOff>139700</xdr:colOff>
                    <xdr:row>43</xdr:row>
                    <xdr:rowOff>50800</xdr:rowOff>
                  </from>
                  <to>
                    <xdr:col>4</xdr:col>
                    <xdr:colOff>146050</xdr:colOff>
                    <xdr:row>43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6" r:id="rId107" name="Check Box 166">
              <controlPr defaultSize="0" autoFill="0" autoLine="0" autoPict="0">
                <anchor moveWithCells="1">
                  <from>
                    <xdr:col>3</xdr:col>
                    <xdr:colOff>139700</xdr:colOff>
                    <xdr:row>44</xdr:row>
                    <xdr:rowOff>50800</xdr:rowOff>
                  </from>
                  <to>
                    <xdr:col>4</xdr:col>
                    <xdr:colOff>146050</xdr:colOff>
                    <xdr:row>44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7" r:id="rId108" name="Check Box 167">
              <controlPr defaultSize="0" autoFill="0" autoLine="0" autoPict="0">
                <anchor moveWithCells="1">
                  <from>
                    <xdr:col>3</xdr:col>
                    <xdr:colOff>139700</xdr:colOff>
                    <xdr:row>45</xdr:row>
                    <xdr:rowOff>50800</xdr:rowOff>
                  </from>
                  <to>
                    <xdr:col>4</xdr:col>
                    <xdr:colOff>146050</xdr:colOff>
                    <xdr:row>45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8" r:id="rId109" name="Check Box 168">
              <controlPr defaultSize="0" autoFill="0" autoLine="0" autoPict="0">
                <anchor moveWithCells="1">
                  <from>
                    <xdr:col>3</xdr:col>
                    <xdr:colOff>139700</xdr:colOff>
                    <xdr:row>46</xdr:row>
                    <xdr:rowOff>50800</xdr:rowOff>
                  </from>
                  <to>
                    <xdr:col>4</xdr:col>
                    <xdr:colOff>146050</xdr:colOff>
                    <xdr:row>46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9" r:id="rId110" name="Check Box 169">
              <controlPr defaultSize="0" autoFill="0" autoLine="0" autoPict="0">
                <anchor moveWithCells="1">
                  <from>
                    <xdr:col>3</xdr:col>
                    <xdr:colOff>139700</xdr:colOff>
                    <xdr:row>47</xdr:row>
                    <xdr:rowOff>50800</xdr:rowOff>
                  </from>
                  <to>
                    <xdr:col>4</xdr:col>
                    <xdr:colOff>146050</xdr:colOff>
                    <xdr:row>47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0" r:id="rId111" name="Check Box 170">
              <controlPr defaultSize="0" autoFill="0" autoLine="0" autoPict="0">
                <anchor moveWithCells="1">
                  <from>
                    <xdr:col>3</xdr:col>
                    <xdr:colOff>139700</xdr:colOff>
                    <xdr:row>48</xdr:row>
                    <xdr:rowOff>50800</xdr:rowOff>
                  </from>
                  <to>
                    <xdr:col>4</xdr:col>
                    <xdr:colOff>146050</xdr:colOff>
                    <xdr:row>48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1" r:id="rId112" name="Check Box 171">
              <controlPr defaultSize="0" autoFill="0" autoLine="0" autoPict="0">
                <anchor moveWithCells="1">
                  <from>
                    <xdr:col>3</xdr:col>
                    <xdr:colOff>139700</xdr:colOff>
                    <xdr:row>49</xdr:row>
                    <xdr:rowOff>50800</xdr:rowOff>
                  </from>
                  <to>
                    <xdr:col>4</xdr:col>
                    <xdr:colOff>146050</xdr:colOff>
                    <xdr:row>49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2" r:id="rId113" name="Check Box 172">
              <controlPr defaultSize="0" autoFill="0" autoLine="0" autoPict="0">
                <anchor moveWithCells="1">
                  <from>
                    <xdr:col>3</xdr:col>
                    <xdr:colOff>139700</xdr:colOff>
                    <xdr:row>50</xdr:row>
                    <xdr:rowOff>50800</xdr:rowOff>
                  </from>
                  <to>
                    <xdr:col>4</xdr:col>
                    <xdr:colOff>146050</xdr:colOff>
                    <xdr:row>50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3" r:id="rId114" name="Check Box 173">
              <controlPr defaultSize="0" autoFill="0" autoLine="0" autoPict="0">
                <anchor moveWithCells="1">
                  <from>
                    <xdr:col>3</xdr:col>
                    <xdr:colOff>139700</xdr:colOff>
                    <xdr:row>51</xdr:row>
                    <xdr:rowOff>50800</xdr:rowOff>
                  </from>
                  <to>
                    <xdr:col>4</xdr:col>
                    <xdr:colOff>146050</xdr:colOff>
                    <xdr:row>51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4" r:id="rId115" name="Check Box 174">
              <controlPr defaultSize="0" autoFill="0" autoLine="0" autoPict="0">
                <anchor moveWithCells="1">
                  <from>
                    <xdr:col>3</xdr:col>
                    <xdr:colOff>139700</xdr:colOff>
                    <xdr:row>52</xdr:row>
                    <xdr:rowOff>50800</xdr:rowOff>
                  </from>
                  <to>
                    <xdr:col>4</xdr:col>
                    <xdr:colOff>146050</xdr:colOff>
                    <xdr:row>52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5" r:id="rId116" name="Check Box 175">
              <controlPr defaultSize="0" autoFill="0" autoLine="0" autoPict="0">
                <anchor moveWithCells="1">
                  <from>
                    <xdr:col>3</xdr:col>
                    <xdr:colOff>139700</xdr:colOff>
                    <xdr:row>53</xdr:row>
                    <xdr:rowOff>50800</xdr:rowOff>
                  </from>
                  <to>
                    <xdr:col>4</xdr:col>
                    <xdr:colOff>146050</xdr:colOff>
                    <xdr:row>53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6" r:id="rId117" name="Check Box 176">
              <controlPr defaultSize="0" autoFill="0" autoLine="0" autoPict="0">
                <anchor moveWithCells="1">
                  <from>
                    <xdr:col>3</xdr:col>
                    <xdr:colOff>139700</xdr:colOff>
                    <xdr:row>54</xdr:row>
                    <xdr:rowOff>50800</xdr:rowOff>
                  </from>
                  <to>
                    <xdr:col>4</xdr:col>
                    <xdr:colOff>146050</xdr:colOff>
                    <xdr:row>54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7" r:id="rId118" name="Check Box 177">
              <controlPr defaultSize="0" autoFill="0" autoLine="0" autoPict="0">
                <anchor moveWithCells="1">
                  <from>
                    <xdr:col>3</xdr:col>
                    <xdr:colOff>139700</xdr:colOff>
                    <xdr:row>55</xdr:row>
                    <xdr:rowOff>50800</xdr:rowOff>
                  </from>
                  <to>
                    <xdr:col>4</xdr:col>
                    <xdr:colOff>146050</xdr:colOff>
                    <xdr:row>55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8" r:id="rId119" name="Check Box 178">
              <controlPr defaultSize="0" autoFill="0" autoLine="0" autoPict="0">
                <anchor moveWithCells="1">
                  <from>
                    <xdr:col>3</xdr:col>
                    <xdr:colOff>139700</xdr:colOff>
                    <xdr:row>56</xdr:row>
                    <xdr:rowOff>50800</xdr:rowOff>
                  </from>
                  <to>
                    <xdr:col>4</xdr:col>
                    <xdr:colOff>146050</xdr:colOff>
                    <xdr:row>56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9" r:id="rId120" name="Check Box 179">
              <controlPr defaultSize="0" autoFill="0" autoLine="0" autoPict="0">
                <anchor moveWithCells="1">
                  <from>
                    <xdr:col>3</xdr:col>
                    <xdr:colOff>139700</xdr:colOff>
                    <xdr:row>57</xdr:row>
                    <xdr:rowOff>50800</xdr:rowOff>
                  </from>
                  <to>
                    <xdr:col>4</xdr:col>
                    <xdr:colOff>146050</xdr:colOff>
                    <xdr:row>57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0" r:id="rId121" name="Check Box 180">
              <controlPr defaultSize="0" autoFill="0" autoLine="0" autoPict="0">
                <anchor moveWithCells="1">
                  <from>
                    <xdr:col>3</xdr:col>
                    <xdr:colOff>139700</xdr:colOff>
                    <xdr:row>58</xdr:row>
                    <xdr:rowOff>50800</xdr:rowOff>
                  </from>
                  <to>
                    <xdr:col>4</xdr:col>
                    <xdr:colOff>146050</xdr:colOff>
                    <xdr:row>58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1" r:id="rId122" name="Check Box 181">
              <controlPr defaultSize="0" autoFill="0" autoLine="0" autoPict="0">
                <anchor moveWithCells="1">
                  <from>
                    <xdr:col>3</xdr:col>
                    <xdr:colOff>139700</xdr:colOff>
                    <xdr:row>59</xdr:row>
                    <xdr:rowOff>50800</xdr:rowOff>
                  </from>
                  <to>
                    <xdr:col>4</xdr:col>
                    <xdr:colOff>146050</xdr:colOff>
                    <xdr:row>59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2" r:id="rId123" name="Check Box 182">
              <controlPr defaultSize="0" autoFill="0" autoLine="0" autoPict="0">
                <anchor moveWithCells="1">
                  <from>
                    <xdr:col>3</xdr:col>
                    <xdr:colOff>139700</xdr:colOff>
                    <xdr:row>60</xdr:row>
                    <xdr:rowOff>50800</xdr:rowOff>
                  </from>
                  <to>
                    <xdr:col>4</xdr:col>
                    <xdr:colOff>146050</xdr:colOff>
                    <xdr:row>60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3" r:id="rId124" name="Check Box 183">
              <controlPr defaultSize="0" autoFill="0" autoLine="0" autoPict="0">
                <anchor moveWithCells="1">
                  <from>
                    <xdr:col>3</xdr:col>
                    <xdr:colOff>139700</xdr:colOff>
                    <xdr:row>61</xdr:row>
                    <xdr:rowOff>50800</xdr:rowOff>
                  </from>
                  <to>
                    <xdr:col>4</xdr:col>
                    <xdr:colOff>146050</xdr:colOff>
                    <xdr:row>61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4" r:id="rId125" name="Check Box 184">
              <controlPr defaultSize="0" autoFill="0" autoLine="0" autoPict="0">
                <anchor moveWithCells="1">
                  <from>
                    <xdr:col>3</xdr:col>
                    <xdr:colOff>139700</xdr:colOff>
                    <xdr:row>62</xdr:row>
                    <xdr:rowOff>50800</xdr:rowOff>
                  </from>
                  <to>
                    <xdr:col>4</xdr:col>
                    <xdr:colOff>146050</xdr:colOff>
                    <xdr:row>62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5" r:id="rId126" name="Check Box 185">
              <controlPr defaultSize="0" autoFill="0" autoLine="0" autoPict="0">
                <anchor moveWithCells="1">
                  <from>
                    <xdr:col>3</xdr:col>
                    <xdr:colOff>139700</xdr:colOff>
                    <xdr:row>63</xdr:row>
                    <xdr:rowOff>50800</xdr:rowOff>
                  </from>
                  <to>
                    <xdr:col>4</xdr:col>
                    <xdr:colOff>146050</xdr:colOff>
                    <xdr:row>63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6" r:id="rId127" name="Check Box 186">
              <controlPr defaultSize="0" autoFill="0" autoLine="0" autoPict="0">
                <anchor moveWithCells="1">
                  <from>
                    <xdr:col>3</xdr:col>
                    <xdr:colOff>139700</xdr:colOff>
                    <xdr:row>64</xdr:row>
                    <xdr:rowOff>50800</xdr:rowOff>
                  </from>
                  <to>
                    <xdr:col>4</xdr:col>
                    <xdr:colOff>146050</xdr:colOff>
                    <xdr:row>64</xdr:row>
                    <xdr:rowOff>139700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31F9-D1CB-4DB3-870E-C898A675CA01}">
  <sheetPr codeName="Sheet1"/>
  <dimension ref="A1:I21"/>
  <sheetViews>
    <sheetView showGridLines="0" zoomScaleNormal="100" zoomScaleSheetLayoutView="100" workbookViewId="0">
      <selection activeCell="J6" sqref="J6:K6"/>
    </sheetView>
  </sheetViews>
  <sheetFormatPr defaultColWidth="9.54296875" defaultRowHeight="16.5" customHeight="1" x14ac:dyDescent="0.35"/>
  <cols>
    <col min="2" max="2" width="24.81640625" style="5" customWidth="1"/>
    <col min="3" max="3" width="20.08984375" style="5" bestFit="1" customWidth="1"/>
    <col min="4" max="4" width="5.90625" hidden="1" customWidth="1"/>
  </cols>
  <sheetData>
    <row r="1" spans="1:9" ht="16.5" customHeight="1" thickBot="1" x14ac:dyDescent="0.4">
      <c r="A1" s="148" t="s">
        <v>3</v>
      </c>
      <c r="B1" s="149"/>
      <c r="C1" s="149"/>
      <c r="D1" s="149"/>
      <c r="E1" s="150"/>
      <c r="F1" s="151" t="str">
        <f>GS!F1</f>
        <v>SSC EXAM</v>
      </c>
      <c r="G1" s="152"/>
      <c r="H1" s="152"/>
      <c r="I1" s="153"/>
    </row>
    <row r="2" spans="1:9" ht="16.5" customHeight="1" x14ac:dyDescent="0.35">
      <c r="A2" s="22" t="s">
        <v>76</v>
      </c>
      <c r="B2" s="22" t="s">
        <v>77</v>
      </c>
      <c r="C2" s="22" t="s">
        <v>78</v>
      </c>
      <c r="D2" s="22" t="s">
        <v>74</v>
      </c>
      <c r="E2" s="27" t="s">
        <v>74</v>
      </c>
      <c r="F2" s="32" t="s">
        <v>126</v>
      </c>
      <c r="G2" s="32" t="s">
        <v>78</v>
      </c>
      <c r="H2" s="32" t="s">
        <v>261</v>
      </c>
      <c r="I2" s="32" t="s">
        <v>75</v>
      </c>
    </row>
    <row r="3" spans="1:9" ht="16.5" customHeight="1" x14ac:dyDescent="0.35">
      <c r="A3" s="17" t="s">
        <v>3</v>
      </c>
      <c r="B3" s="17" t="s">
        <v>114</v>
      </c>
      <c r="C3" s="17" t="s">
        <v>51</v>
      </c>
      <c r="D3" s="23" t="b">
        <v>0</v>
      </c>
      <c r="E3" s="28"/>
      <c r="F3" s="33" t="s">
        <v>3</v>
      </c>
      <c r="G3" s="6">
        <f>COUNTA(C3:C21)</f>
        <v>19</v>
      </c>
      <c r="H3" s="6">
        <f>COUNTIF(D3:D21,TRUE)</f>
        <v>0</v>
      </c>
      <c r="I3" s="6">
        <f>COUNTIF(D3:D21,FALSE)</f>
        <v>19</v>
      </c>
    </row>
    <row r="4" spans="1:9" ht="16.5" customHeight="1" x14ac:dyDescent="0.35">
      <c r="A4" s="17" t="s">
        <v>3</v>
      </c>
      <c r="B4" s="17" t="s">
        <v>114</v>
      </c>
      <c r="C4" s="17" t="s">
        <v>52</v>
      </c>
      <c r="D4" s="17" t="b">
        <v>0</v>
      </c>
      <c r="E4" s="17"/>
    </row>
    <row r="5" spans="1:9" ht="16.5" customHeight="1" x14ac:dyDescent="0.35">
      <c r="A5" s="17" t="s">
        <v>3</v>
      </c>
      <c r="B5" s="17" t="s">
        <v>114</v>
      </c>
      <c r="C5" s="17" t="s">
        <v>54</v>
      </c>
      <c r="D5" s="17" t="b">
        <v>0</v>
      </c>
      <c r="E5" s="17"/>
    </row>
    <row r="6" spans="1:9" ht="16.5" customHeight="1" x14ac:dyDescent="0.35">
      <c r="A6" s="17" t="s">
        <v>3</v>
      </c>
      <c r="B6" s="17" t="s">
        <v>114</v>
      </c>
      <c r="C6" s="17" t="s">
        <v>115</v>
      </c>
      <c r="D6" s="17" t="b">
        <v>0</v>
      </c>
      <c r="E6" s="17"/>
    </row>
    <row r="7" spans="1:9" ht="16.5" customHeight="1" x14ac:dyDescent="0.35">
      <c r="A7" s="17" t="s">
        <v>3</v>
      </c>
      <c r="B7" s="17" t="s">
        <v>114</v>
      </c>
      <c r="C7" s="17" t="s">
        <v>53</v>
      </c>
      <c r="D7" s="17" t="b">
        <v>0</v>
      </c>
      <c r="E7" s="17"/>
    </row>
    <row r="8" spans="1:9" ht="16.5" customHeight="1" x14ac:dyDescent="0.35">
      <c r="A8" s="17" t="s">
        <v>3</v>
      </c>
      <c r="B8" s="17" t="s">
        <v>114</v>
      </c>
      <c r="C8" s="17" t="s">
        <v>55</v>
      </c>
      <c r="D8" s="17" t="b">
        <v>0</v>
      </c>
      <c r="E8" s="17"/>
    </row>
    <row r="9" spans="1:9" ht="16.5" customHeight="1" x14ac:dyDescent="0.35">
      <c r="A9" s="17" t="s">
        <v>3</v>
      </c>
      <c r="B9" s="17" t="s">
        <v>114</v>
      </c>
      <c r="C9" s="17" t="s">
        <v>56</v>
      </c>
      <c r="D9" s="17" t="b">
        <v>0</v>
      </c>
      <c r="E9" s="17"/>
    </row>
    <row r="10" spans="1:9" ht="16.5" customHeight="1" x14ac:dyDescent="0.35">
      <c r="A10" s="17" t="s">
        <v>3</v>
      </c>
      <c r="B10" s="17" t="s">
        <v>114</v>
      </c>
      <c r="C10" s="17" t="s">
        <v>57</v>
      </c>
      <c r="D10" s="17" t="b">
        <v>0</v>
      </c>
      <c r="E10" s="17"/>
    </row>
    <row r="11" spans="1:9" ht="16.5" customHeight="1" x14ac:dyDescent="0.35">
      <c r="A11" s="17" t="s">
        <v>3</v>
      </c>
      <c r="B11" s="17" t="s">
        <v>114</v>
      </c>
      <c r="C11" s="17" t="s">
        <v>116</v>
      </c>
      <c r="D11" s="17" t="b">
        <v>0</v>
      </c>
      <c r="E11" s="17"/>
    </row>
    <row r="12" spans="1:9" ht="16.5" customHeight="1" x14ac:dyDescent="0.35">
      <c r="A12" s="17" t="s">
        <v>3</v>
      </c>
      <c r="B12" s="17" t="s">
        <v>114</v>
      </c>
      <c r="C12" s="17" t="s">
        <v>117</v>
      </c>
      <c r="D12" s="17" t="b">
        <v>0</v>
      </c>
      <c r="E12" s="17"/>
    </row>
    <row r="13" spans="1:9" ht="16.5" customHeight="1" x14ac:dyDescent="0.35">
      <c r="A13" s="17" t="s">
        <v>3</v>
      </c>
      <c r="B13" s="17" t="s">
        <v>114</v>
      </c>
      <c r="C13" s="17" t="s">
        <v>118</v>
      </c>
      <c r="D13" s="17" t="b">
        <v>0</v>
      </c>
      <c r="E13" s="17"/>
    </row>
    <row r="14" spans="1:9" ht="16.5" customHeight="1" x14ac:dyDescent="0.35">
      <c r="A14" s="17" t="s">
        <v>3</v>
      </c>
      <c r="B14" s="17" t="s">
        <v>119</v>
      </c>
      <c r="C14" s="17" t="s">
        <v>62</v>
      </c>
      <c r="D14" s="17" t="b">
        <v>0</v>
      </c>
      <c r="E14" s="17"/>
    </row>
    <row r="15" spans="1:9" ht="16.5" customHeight="1" x14ac:dyDescent="0.35">
      <c r="A15" s="17" t="s">
        <v>3</v>
      </c>
      <c r="B15" s="17" t="s">
        <v>119</v>
      </c>
      <c r="C15" s="17" t="s">
        <v>63</v>
      </c>
      <c r="D15" s="17" t="b">
        <v>0</v>
      </c>
      <c r="E15" s="17"/>
    </row>
    <row r="16" spans="1:9" ht="16.5" customHeight="1" x14ac:dyDescent="0.35">
      <c r="A16" s="17" t="s">
        <v>3</v>
      </c>
      <c r="B16" s="17" t="s">
        <v>119</v>
      </c>
      <c r="C16" s="17" t="s">
        <v>64</v>
      </c>
      <c r="D16" s="17" t="b">
        <v>0</v>
      </c>
      <c r="E16" s="17"/>
    </row>
    <row r="17" spans="1:5" ht="16.5" customHeight="1" x14ac:dyDescent="0.35">
      <c r="A17" s="17" t="s">
        <v>3</v>
      </c>
      <c r="B17" s="17" t="s">
        <v>119</v>
      </c>
      <c r="C17" s="17" t="s">
        <v>65</v>
      </c>
      <c r="D17" s="17" t="b">
        <v>0</v>
      </c>
      <c r="E17" s="17"/>
    </row>
    <row r="18" spans="1:5" ht="16.5" customHeight="1" x14ac:dyDescent="0.35">
      <c r="A18" s="17" t="s">
        <v>3</v>
      </c>
      <c r="B18" s="17" t="s">
        <v>120</v>
      </c>
      <c r="C18" s="17" t="s">
        <v>121</v>
      </c>
      <c r="D18" s="17" t="b">
        <v>0</v>
      </c>
      <c r="E18" s="17"/>
    </row>
    <row r="19" spans="1:5" ht="16.5" customHeight="1" x14ac:dyDescent="0.35">
      <c r="A19" s="17" t="s">
        <v>3</v>
      </c>
      <c r="B19" s="17" t="s">
        <v>58</v>
      </c>
      <c r="C19" s="17" t="s">
        <v>122</v>
      </c>
      <c r="D19" s="17" t="b">
        <v>0</v>
      </c>
      <c r="E19" s="17"/>
    </row>
    <row r="20" spans="1:5" ht="16.5" customHeight="1" x14ac:dyDescent="0.35">
      <c r="A20" s="17" t="s">
        <v>3</v>
      </c>
      <c r="B20" s="17" t="s">
        <v>59</v>
      </c>
      <c r="C20" s="17" t="s">
        <v>123</v>
      </c>
      <c r="D20" s="17" t="b">
        <v>0</v>
      </c>
      <c r="E20" s="17"/>
    </row>
    <row r="21" spans="1:5" ht="16.5" customHeight="1" x14ac:dyDescent="0.35">
      <c r="A21" s="17" t="s">
        <v>3</v>
      </c>
      <c r="B21" s="17" t="s">
        <v>61</v>
      </c>
      <c r="C21" s="17" t="s">
        <v>60</v>
      </c>
      <c r="D21" s="17" t="b">
        <v>0</v>
      </c>
      <c r="E21" s="17"/>
    </row>
  </sheetData>
  <mergeCells count="2">
    <mergeCell ref="A1:E1"/>
    <mergeCell ref="F1:I1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7" r:id="rId4" name="Check Box 3">
              <controlPr defaultSize="0" autoFill="0" autoLine="0" autoPict="0">
                <anchor moveWithCells="1">
                  <from>
                    <xdr:col>3</xdr:col>
                    <xdr:colOff>196850</xdr:colOff>
                    <xdr:row>1</xdr:row>
                    <xdr:rowOff>196850</xdr:rowOff>
                  </from>
                  <to>
                    <xdr:col>4</xdr:col>
                    <xdr:colOff>203200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5" name="Check Box 4">
              <controlPr defaultSize="0" autoFill="0" autoLine="0" autoPict="0">
                <anchor moveWithCells="1">
                  <from>
                    <xdr:col>3</xdr:col>
                    <xdr:colOff>196850</xdr:colOff>
                    <xdr:row>2</xdr:row>
                    <xdr:rowOff>196850</xdr:rowOff>
                  </from>
                  <to>
                    <xdr:col>4</xdr:col>
                    <xdr:colOff>203200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6" name="Check Box 5">
              <controlPr defaultSize="0" autoFill="0" autoLine="0" autoPict="0">
                <anchor moveWithCells="1">
                  <from>
                    <xdr:col>3</xdr:col>
                    <xdr:colOff>196850</xdr:colOff>
                    <xdr:row>3</xdr:row>
                    <xdr:rowOff>196850</xdr:rowOff>
                  </from>
                  <to>
                    <xdr:col>4</xdr:col>
                    <xdr:colOff>203200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7" name="Check Box 6">
              <controlPr defaultSize="0" autoFill="0" autoLine="0" autoPict="0">
                <anchor moveWithCells="1">
                  <from>
                    <xdr:col>3</xdr:col>
                    <xdr:colOff>196850</xdr:colOff>
                    <xdr:row>4</xdr:row>
                    <xdr:rowOff>196850</xdr:rowOff>
                  </from>
                  <to>
                    <xdr:col>4</xdr:col>
                    <xdr:colOff>203200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1" r:id="rId8" name="Check Box 7">
              <controlPr defaultSize="0" autoFill="0" autoLine="0" autoPict="0">
                <anchor moveWithCells="1">
                  <from>
                    <xdr:col>3</xdr:col>
                    <xdr:colOff>196850</xdr:colOff>
                    <xdr:row>4</xdr:row>
                    <xdr:rowOff>196850</xdr:rowOff>
                  </from>
                  <to>
                    <xdr:col>4</xdr:col>
                    <xdr:colOff>203200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9" name="Check Box 8">
              <controlPr defaultSize="0" autoFill="0" autoLine="0" autoPict="0">
                <anchor moveWithCells="1">
                  <from>
                    <xdr:col>3</xdr:col>
                    <xdr:colOff>196850</xdr:colOff>
                    <xdr:row>5</xdr:row>
                    <xdr:rowOff>196850</xdr:rowOff>
                  </from>
                  <to>
                    <xdr:col>4</xdr:col>
                    <xdr:colOff>203200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10" name="Check Box 9">
              <controlPr defaultSize="0" autoFill="0" autoLine="0" autoPict="0">
                <anchor moveWithCells="1">
                  <from>
                    <xdr:col>3</xdr:col>
                    <xdr:colOff>196850</xdr:colOff>
                    <xdr:row>5</xdr:row>
                    <xdr:rowOff>196850</xdr:rowOff>
                  </from>
                  <to>
                    <xdr:col>4</xdr:col>
                    <xdr:colOff>203200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11" name="Check Box 10">
              <controlPr defaultSize="0" autoFill="0" autoLine="0" autoPict="0">
                <anchor moveWithCells="1">
                  <from>
                    <xdr:col>3</xdr:col>
                    <xdr:colOff>196850</xdr:colOff>
                    <xdr:row>6</xdr:row>
                    <xdr:rowOff>196850</xdr:rowOff>
                  </from>
                  <to>
                    <xdr:col>4</xdr:col>
                    <xdr:colOff>203200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5" r:id="rId12" name="Check Box 11">
              <controlPr defaultSize="0" autoFill="0" autoLine="0" autoPict="0">
                <anchor moveWithCells="1">
                  <from>
                    <xdr:col>3</xdr:col>
                    <xdr:colOff>196850</xdr:colOff>
                    <xdr:row>6</xdr:row>
                    <xdr:rowOff>196850</xdr:rowOff>
                  </from>
                  <to>
                    <xdr:col>4</xdr:col>
                    <xdr:colOff>203200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6" r:id="rId13" name="Check Box 12">
              <controlPr defaultSize="0" autoFill="0" autoLine="0" autoPict="0">
                <anchor moveWithCells="1">
                  <from>
                    <xdr:col>3</xdr:col>
                    <xdr:colOff>196850</xdr:colOff>
                    <xdr:row>7</xdr:row>
                    <xdr:rowOff>196850</xdr:rowOff>
                  </from>
                  <to>
                    <xdr:col>4</xdr:col>
                    <xdr:colOff>203200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7" r:id="rId14" name="Check Box 13">
              <controlPr defaultSize="0" autoFill="0" autoLine="0" autoPict="0">
                <anchor moveWithCells="1">
                  <from>
                    <xdr:col>3</xdr:col>
                    <xdr:colOff>196850</xdr:colOff>
                    <xdr:row>7</xdr:row>
                    <xdr:rowOff>196850</xdr:rowOff>
                  </from>
                  <to>
                    <xdr:col>4</xdr:col>
                    <xdr:colOff>203200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8" r:id="rId15" name="Check Box 14">
              <controlPr defaultSize="0" autoFill="0" autoLine="0" autoPict="0">
                <anchor moveWithCells="1">
                  <from>
                    <xdr:col>3</xdr:col>
                    <xdr:colOff>196850</xdr:colOff>
                    <xdr:row>8</xdr:row>
                    <xdr:rowOff>196850</xdr:rowOff>
                  </from>
                  <to>
                    <xdr:col>4</xdr:col>
                    <xdr:colOff>203200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9" r:id="rId16" name="Check Box 15">
              <controlPr defaultSize="0" autoFill="0" autoLine="0" autoPict="0">
                <anchor moveWithCells="1">
                  <from>
                    <xdr:col>3</xdr:col>
                    <xdr:colOff>196850</xdr:colOff>
                    <xdr:row>8</xdr:row>
                    <xdr:rowOff>196850</xdr:rowOff>
                  </from>
                  <to>
                    <xdr:col>4</xdr:col>
                    <xdr:colOff>203200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0" r:id="rId17" name="Check Box 16">
              <controlPr defaultSize="0" autoFill="0" autoLine="0" autoPict="0">
                <anchor moveWithCells="1">
                  <from>
                    <xdr:col>3</xdr:col>
                    <xdr:colOff>196850</xdr:colOff>
                    <xdr:row>9</xdr:row>
                    <xdr:rowOff>196850</xdr:rowOff>
                  </from>
                  <to>
                    <xdr:col>4</xdr:col>
                    <xdr:colOff>203200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1" r:id="rId18" name="Check Box 17">
              <controlPr defaultSize="0" autoFill="0" autoLine="0" autoPict="0">
                <anchor moveWithCells="1">
                  <from>
                    <xdr:col>3</xdr:col>
                    <xdr:colOff>196850</xdr:colOff>
                    <xdr:row>9</xdr:row>
                    <xdr:rowOff>196850</xdr:rowOff>
                  </from>
                  <to>
                    <xdr:col>4</xdr:col>
                    <xdr:colOff>203200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2" r:id="rId19" name="Check Box 18">
              <controlPr defaultSize="0" autoFill="0" autoLine="0" autoPict="0">
                <anchor moveWithCells="1">
                  <from>
                    <xdr:col>3</xdr:col>
                    <xdr:colOff>196850</xdr:colOff>
                    <xdr:row>10</xdr:row>
                    <xdr:rowOff>196850</xdr:rowOff>
                  </from>
                  <to>
                    <xdr:col>4</xdr:col>
                    <xdr:colOff>203200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3" r:id="rId20" name="Check Box 19">
              <controlPr defaultSize="0" autoFill="0" autoLine="0" autoPict="0">
                <anchor moveWithCells="1">
                  <from>
                    <xdr:col>3</xdr:col>
                    <xdr:colOff>196850</xdr:colOff>
                    <xdr:row>10</xdr:row>
                    <xdr:rowOff>196850</xdr:rowOff>
                  </from>
                  <to>
                    <xdr:col>4</xdr:col>
                    <xdr:colOff>203200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4" r:id="rId21" name="Check Box 20">
              <controlPr defaultSize="0" autoFill="0" autoLine="0" autoPict="0">
                <anchor moveWithCells="1">
                  <from>
                    <xdr:col>3</xdr:col>
                    <xdr:colOff>196850</xdr:colOff>
                    <xdr:row>11</xdr:row>
                    <xdr:rowOff>196850</xdr:rowOff>
                  </from>
                  <to>
                    <xdr:col>4</xdr:col>
                    <xdr:colOff>203200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5" r:id="rId22" name="Check Box 21">
              <controlPr defaultSize="0" autoFill="0" autoLine="0" autoPict="0">
                <anchor moveWithCells="1">
                  <from>
                    <xdr:col>3</xdr:col>
                    <xdr:colOff>196850</xdr:colOff>
                    <xdr:row>11</xdr:row>
                    <xdr:rowOff>196850</xdr:rowOff>
                  </from>
                  <to>
                    <xdr:col>4</xdr:col>
                    <xdr:colOff>203200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6" r:id="rId23" name="Check Box 22">
              <controlPr defaultSize="0" autoFill="0" autoLine="0" autoPict="0">
                <anchor moveWithCells="1">
                  <from>
                    <xdr:col>3</xdr:col>
                    <xdr:colOff>196850</xdr:colOff>
                    <xdr:row>12</xdr:row>
                    <xdr:rowOff>196850</xdr:rowOff>
                  </from>
                  <to>
                    <xdr:col>4</xdr:col>
                    <xdr:colOff>203200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7" r:id="rId24" name="Check Box 23">
              <controlPr defaultSize="0" autoFill="0" autoLine="0" autoPict="0">
                <anchor moveWithCells="1">
                  <from>
                    <xdr:col>3</xdr:col>
                    <xdr:colOff>196850</xdr:colOff>
                    <xdr:row>12</xdr:row>
                    <xdr:rowOff>196850</xdr:rowOff>
                  </from>
                  <to>
                    <xdr:col>4</xdr:col>
                    <xdr:colOff>203200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8" r:id="rId25" name="Check Box 24">
              <controlPr defaultSize="0" autoFill="0" autoLine="0" autoPict="0">
                <anchor moveWithCells="1">
                  <from>
                    <xdr:col>3</xdr:col>
                    <xdr:colOff>196850</xdr:colOff>
                    <xdr:row>13</xdr:row>
                    <xdr:rowOff>196850</xdr:rowOff>
                  </from>
                  <to>
                    <xdr:col>4</xdr:col>
                    <xdr:colOff>203200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9" r:id="rId26" name="Check Box 25">
              <controlPr defaultSize="0" autoFill="0" autoLine="0" autoPict="0">
                <anchor moveWithCells="1">
                  <from>
                    <xdr:col>3</xdr:col>
                    <xdr:colOff>196850</xdr:colOff>
                    <xdr:row>13</xdr:row>
                    <xdr:rowOff>196850</xdr:rowOff>
                  </from>
                  <to>
                    <xdr:col>4</xdr:col>
                    <xdr:colOff>203200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0" r:id="rId27" name="Check Box 26">
              <controlPr defaultSize="0" autoFill="0" autoLine="0" autoPict="0">
                <anchor moveWithCells="1">
                  <from>
                    <xdr:col>3</xdr:col>
                    <xdr:colOff>196850</xdr:colOff>
                    <xdr:row>14</xdr:row>
                    <xdr:rowOff>196850</xdr:rowOff>
                  </from>
                  <to>
                    <xdr:col>4</xdr:col>
                    <xdr:colOff>203200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1" r:id="rId28" name="Check Box 27">
              <controlPr defaultSize="0" autoFill="0" autoLine="0" autoPict="0">
                <anchor moveWithCells="1">
                  <from>
                    <xdr:col>3</xdr:col>
                    <xdr:colOff>196850</xdr:colOff>
                    <xdr:row>14</xdr:row>
                    <xdr:rowOff>196850</xdr:rowOff>
                  </from>
                  <to>
                    <xdr:col>4</xdr:col>
                    <xdr:colOff>203200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2" r:id="rId29" name="Check Box 28">
              <controlPr defaultSize="0" autoFill="0" autoLine="0" autoPict="0">
                <anchor moveWithCells="1">
                  <from>
                    <xdr:col>3</xdr:col>
                    <xdr:colOff>196850</xdr:colOff>
                    <xdr:row>15</xdr:row>
                    <xdr:rowOff>196850</xdr:rowOff>
                  </from>
                  <to>
                    <xdr:col>4</xdr:col>
                    <xdr:colOff>203200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3" r:id="rId30" name="Check Box 29">
              <controlPr defaultSize="0" autoFill="0" autoLine="0" autoPict="0">
                <anchor moveWithCells="1">
                  <from>
                    <xdr:col>3</xdr:col>
                    <xdr:colOff>196850</xdr:colOff>
                    <xdr:row>15</xdr:row>
                    <xdr:rowOff>196850</xdr:rowOff>
                  </from>
                  <to>
                    <xdr:col>4</xdr:col>
                    <xdr:colOff>203200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4" r:id="rId31" name="Check Box 30">
              <controlPr defaultSize="0" autoFill="0" autoLine="0" autoPict="0">
                <anchor moveWithCells="1">
                  <from>
                    <xdr:col>3</xdr:col>
                    <xdr:colOff>196850</xdr:colOff>
                    <xdr:row>16</xdr:row>
                    <xdr:rowOff>196850</xdr:rowOff>
                  </from>
                  <to>
                    <xdr:col>4</xdr:col>
                    <xdr:colOff>203200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5" r:id="rId32" name="Check Box 31">
              <controlPr defaultSize="0" autoFill="0" autoLine="0" autoPict="0">
                <anchor moveWithCells="1">
                  <from>
                    <xdr:col>3</xdr:col>
                    <xdr:colOff>196850</xdr:colOff>
                    <xdr:row>16</xdr:row>
                    <xdr:rowOff>196850</xdr:rowOff>
                  </from>
                  <to>
                    <xdr:col>4</xdr:col>
                    <xdr:colOff>203200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6" r:id="rId33" name="Check Box 32">
              <controlPr defaultSize="0" autoFill="0" autoLine="0" autoPict="0">
                <anchor moveWithCells="1">
                  <from>
                    <xdr:col>3</xdr:col>
                    <xdr:colOff>196850</xdr:colOff>
                    <xdr:row>17</xdr:row>
                    <xdr:rowOff>196850</xdr:rowOff>
                  </from>
                  <to>
                    <xdr:col>4</xdr:col>
                    <xdr:colOff>203200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7" r:id="rId34" name="Check Box 33">
              <controlPr defaultSize="0" autoFill="0" autoLine="0" autoPict="0">
                <anchor moveWithCells="1">
                  <from>
                    <xdr:col>3</xdr:col>
                    <xdr:colOff>196850</xdr:colOff>
                    <xdr:row>17</xdr:row>
                    <xdr:rowOff>196850</xdr:rowOff>
                  </from>
                  <to>
                    <xdr:col>4</xdr:col>
                    <xdr:colOff>203200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8" r:id="rId35" name="Check Box 34">
              <controlPr defaultSize="0" autoFill="0" autoLine="0" autoPict="0">
                <anchor moveWithCells="1">
                  <from>
                    <xdr:col>3</xdr:col>
                    <xdr:colOff>196850</xdr:colOff>
                    <xdr:row>18</xdr:row>
                    <xdr:rowOff>196850</xdr:rowOff>
                  </from>
                  <to>
                    <xdr:col>4</xdr:col>
                    <xdr:colOff>203200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9" r:id="rId36" name="Check Box 35">
              <controlPr defaultSize="0" autoFill="0" autoLine="0" autoPict="0">
                <anchor moveWithCells="1">
                  <from>
                    <xdr:col>3</xdr:col>
                    <xdr:colOff>196850</xdr:colOff>
                    <xdr:row>18</xdr:row>
                    <xdr:rowOff>196850</xdr:rowOff>
                  </from>
                  <to>
                    <xdr:col>4</xdr:col>
                    <xdr:colOff>203200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0" r:id="rId37" name="Check Box 36">
              <controlPr defaultSize="0" autoFill="0" autoLine="0" autoPict="0">
                <anchor moveWithCells="1">
                  <from>
                    <xdr:col>3</xdr:col>
                    <xdr:colOff>196850</xdr:colOff>
                    <xdr:row>19</xdr:row>
                    <xdr:rowOff>196850</xdr:rowOff>
                  </from>
                  <to>
                    <xdr:col>4</xdr:col>
                    <xdr:colOff>203200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1" r:id="rId38" name="Check Box 37">
              <controlPr defaultSize="0" autoFill="0" autoLine="0" autoPict="0">
                <anchor moveWithCells="1">
                  <from>
                    <xdr:col>3</xdr:col>
                    <xdr:colOff>196850</xdr:colOff>
                    <xdr:row>19</xdr:row>
                    <xdr:rowOff>196850</xdr:rowOff>
                  </from>
                  <to>
                    <xdr:col>4</xdr:col>
                    <xdr:colOff>203200</xdr:colOff>
                    <xdr:row>21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DASHBOARD</vt:lpstr>
      <vt:lpstr>MAP</vt:lpstr>
      <vt:lpstr>Sub</vt:lpstr>
      <vt:lpstr>Mind Map</vt:lpstr>
      <vt:lpstr>Weitage</vt:lpstr>
      <vt:lpstr>Maths</vt:lpstr>
      <vt:lpstr>Reasoning</vt:lpstr>
      <vt:lpstr>GS</vt:lpstr>
      <vt:lpstr>English </vt:lpstr>
      <vt:lpstr>DASHBOARD!Print_Area</vt:lpstr>
      <vt:lpstr>'English '!Print_Area</vt:lpstr>
      <vt:lpstr>GS!Print_Area</vt:lpstr>
      <vt:lpstr>Maths!Print_Area</vt:lpstr>
      <vt:lpstr>Reasoning!Print_Area</vt:lpstr>
      <vt:lpstr>Sub!Print_Area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 singh</dc:creator>
  <cp:lastModifiedBy>manan singh</cp:lastModifiedBy>
  <cp:lastPrinted>2026-03-01T17:50:52Z</cp:lastPrinted>
  <dcterms:created xsi:type="dcterms:W3CDTF">2026-02-25T10:05:31Z</dcterms:created>
  <dcterms:modified xsi:type="dcterms:W3CDTF">2026-09-27T06:05:09Z</dcterms:modified>
</cp:coreProperties>
</file>